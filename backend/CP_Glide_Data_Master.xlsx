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666" windowHeight="12986" tabRatio="600" firstSheet="0" activeTab="2" autoFilterDateGrouping="1"/>
  </bookViews>
  <sheets>
    <sheet name="Competitors" sheetId="1" state="visible" r:id="rId1"/>
    <sheet name="Opportunities" sheetId="2" state="visible" r:id="rId2"/>
    <sheet name="Products" sheetId="3" state="visible" r:id="rId3"/>
    <sheet name="Traceability" sheetId="4" state="visible" r:id="rId4"/>
    <sheet name="Market_Data" sheetId="5" state="visible" r:id="rId5"/>
    <sheet name="Customer_Persona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¥#,##0.0"/>
    <numFmt numFmtId="165" formatCode="0.0&quot;%&quot;"/>
    <numFmt numFmtId="166" formatCode="#,##0.0"/>
    <numFmt numFmtId="167" formatCode="0.0"/>
  </numFmts>
  <fonts count="5">
    <font>
      <name val="宋体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/>
    </xf>
    <xf numFmtId="1" fontId="3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8" customWidth="1" min="1" max="1"/>
    <col width="22" customWidth="1" min="2" max="3"/>
    <col width="20" customWidth="1" min="4" max="7"/>
    <col width="18" customWidth="1" min="8" max="8"/>
    <col width="16" customWidth="1" min="9" max="9"/>
    <col width="18" customWidth="1" min="10" max="10"/>
    <col width="22" customWidth="1" min="11" max="11"/>
    <col width="16" customWidth="1" min="12" max="12"/>
    <col width="18" customWidth="1" min="13" max="14"/>
    <col width="30" customWidth="1" min="15" max="19"/>
  </cols>
  <sheetData>
    <row r="1" ht="36" customHeight="1">
      <c r="A1" s="1" t="inlineStr">
        <is>
          <t>Name</t>
        </is>
      </c>
      <c r="B1" s="1" t="inlineStr">
        <is>
          <t>Business_Model</t>
        </is>
      </c>
      <c r="C1" s="1" t="inlineStr">
        <is>
          <t>City_Focus</t>
        </is>
      </c>
      <c r="D1" s="1" t="inlineStr">
        <is>
          <t>Fulfillment_Cost_Rate_Pct</t>
        </is>
      </c>
      <c r="E1" s="1" t="inlineStr">
        <is>
          <t>Revenue_2024_Billion_CNY</t>
        </is>
      </c>
      <c r="F1" s="1" t="inlineStr">
        <is>
          <t>GMV_2024_Billion_CNY</t>
        </is>
      </c>
      <c r="G1" s="1" t="inlineStr">
        <is>
          <t>Net_Profit_2024_M_CNY</t>
        </is>
      </c>
      <c r="H1" s="1" t="inlineStr">
        <is>
          <t>Stores_or_Warehouses</t>
        </is>
      </c>
      <c r="I1" s="1" t="inlineStr">
        <is>
          <t>Online_Order_Pct</t>
        </is>
      </c>
      <c r="J1" s="1" t="inlineStr">
        <is>
          <t>Traceability_Level</t>
        </is>
      </c>
      <c r="K1" s="1" t="inlineStr">
        <is>
          <t>SKU_Strategy</t>
        </is>
      </c>
      <c r="L1" s="1" t="inlineStr">
        <is>
          <t>Private_Label_Pct</t>
        </is>
      </c>
      <c r="M1" s="1" t="inlineStr">
        <is>
          <t>Monthly_Active_Users_M</t>
        </is>
      </c>
      <c r="N1" s="1" t="inlineStr">
        <is>
          <t>Avg_Basket_Size_CNY</t>
        </is>
      </c>
      <c r="O1" s="1" t="inlineStr">
        <is>
          <t>Strength_1</t>
        </is>
      </c>
      <c r="P1" s="1" t="inlineStr">
        <is>
          <t>Strength_2</t>
        </is>
      </c>
      <c r="Q1" s="1" t="inlineStr">
        <is>
          <t>Weakness_1</t>
        </is>
      </c>
      <c r="R1" s="1" t="inlineStr">
        <is>
          <t>Weakness_2</t>
        </is>
      </c>
      <c r="S1" s="1" t="inlineStr">
        <is>
          <t>Source</t>
        </is>
      </c>
    </row>
    <row r="2" ht="34" customHeight="1">
      <c r="A2" s="2" t="inlineStr">
        <is>
          <t>Dingdong Maicai</t>
        </is>
      </c>
      <c r="B2" s="2" t="inlineStr">
        <is>
          <t>Front Warehouse (前置仓)</t>
        </is>
      </c>
      <c r="C2" s="2" t="inlineStr">
        <is>
          <t>Yangtze River Delta (Shanghai / Jiangsu / Zhejiang)</t>
        </is>
      </c>
      <c r="D2" s="2" t="inlineStr">
        <is>
          <t>21.7%</t>
        </is>
      </c>
      <c r="E2" s="2" t="n">
        <v>23.07</v>
      </c>
      <c r="F2" s="2" t="n">
        <v>26.5</v>
      </c>
      <c r="G2" s="2" t="n">
        <v>295</v>
      </c>
      <c r="H2" s="2" t="inlineStr">
        <is>
          <t>1,000+ frontend warehouses</t>
        </is>
      </c>
      <c r="I2" s="2" t="inlineStr">
        <is>
          <t>N/A (pure online)</t>
        </is>
      </c>
      <c r="J2" s="2" t="inlineStr">
        <is>
          <t>Partial – batch traceability on select SKUs</t>
        </is>
      </c>
      <c r="K2" s="2" t="inlineStr">
        <is>
          <t>Streamlined – focused on fresh &amp; daily necessities</t>
        </is>
      </c>
      <c r="L2" s="2" t="inlineStr">
        <is>
          <t>~5%</t>
        </is>
      </c>
      <c r="M2" s="2" t="n">
        <v>8.220000000000001</v>
      </c>
      <c r="N2" s="2" t="n">
        <v>70</v>
      </c>
      <c r="O2" s="2" t="inlineStr">
        <is>
          <t>AI-powered demand forecasting &amp; replenishment</t>
        </is>
      </c>
      <c r="P2" s="2" t="inlineStr">
        <is>
          <t>Direct farm-to-warehouse sourcing, 30-min delivery</t>
        </is>
      </c>
      <c r="Q2" s="2" t="inlineStr">
        <is>
          <t>Limited geographic coverage (exited SW China)</t>
        </is>
      </c>
      <c r="R2" s="2" t="inlineStr">
        <is>
          <t>No private label scale; narrow SKU vs competitors</t>
        </is>
      </c>
      <c r="S2" s="2" t="inlineStr">
        <is>
          <t>Source: Dingdong Q4 2024 Earnings Release, SEC EDGAR, Mar 2025; 36kr.com Aug 2025</t>
        </is>
      </c>
    </row>
    <row r="3" ht="34" customHeight="1">
      <c r="A3" s="3" t="inlineStr">
        <is>
          <t>Freshippo (Hema 盒马)</t>
        </is>
      </c>
      <c r="B3" s="3" t="inlineStr">
        <is>
          <t>Omnichannel Store-Warehouse</t>
        </is>
      </c>
      <c r="C3" s="3" t="inlineStr">
        <is>
          <t>50 cities – Tier 1 &amp; New Tier 1 cities</t>
        </is>
      </c>
      <c r="D3" s="3" t="inlineStr">
        <is>
          <t>~18–20% (est.)</t>
        </is>
      </c>
      <c r="E3" s="3" t="n">
        <v>75</v>
      </c>
      <c r="F3" s="3" t="n">
        <v>75</v>
      </c>
      <c r="G3" s="3" t="inlineStr">
        <is>
          <t>First full-year profit FY2025</t>
        </is>
      </c>
      <c r="H3" s="3" t="inlineStr">
        <is>
          <t>430 Hema Fresh stores</t>
        </is>
      </c>
      <c r="I3" s="3" t="inlineStr">
        <is>
          <t>&gt;60%</t>
        </is>
      </c>
      <c r="J3" s="3" t="inlineStr">
        <is>
          <t>Partial – QR traceability on premium &amp; imported items</t>
        </is>
      </c>
      <c r="K3" s="3" t="inlineStr">
        <is>
          <t>Broad + 35% private label SKUs</t>
        </is>
      </c>
      <c r="L3" s="3" t="inlineStr">
        <is>
          <t>~35%</t>
        </is>
      </c>
      <c r="M3" s="3" t="inlineStr">
        <is>
          <t>N/A (Alibaba)</t>
        </is>
      </c>
      <c r="N3" s="3" t="n">
        <v>120</v>
      </c>
      <c r="O3" s="3" t="inlineStr">
        <is>
          <t>Omnichannel (in-store + 30-min delivery); Alibaba ecosystem integration</t>
        </is>
      </c>
      <c r="P3" s="3" t="inlineStr">
        <is>
          <t>35% private label – strong margin &amp; brand loyalty</t>
        </is>
      </c>
      <c r="Q3" s="3" t="inlineStr">
        <is>
          <t>High real-estate &amp; operating costs</t>
        </is>
      </c>
      <c r="R3" s="3" t="inlineStr">
        <is>
          <t>Closed all Hema X membership stores (2025); format complexity</t>
        </is>
      </c>
      <c r="S3" s="3" t="inlineStr">
        <is>
          <t>Source: Alibaba Annual Report FY2025; SCMP Dec 2024; KR-Asia May 2025; ChinaDaily Aug 2025</t>
        </is>
      </c>
    </row>
    <row r="4" ht="22.7" customHeight="1">
      <c r="A4" s="2" t="inlineStr">
        <is>
          <t>JD Daojia (达达)</t>
        </is>
      </c>
      <c r="B4" s="2" t="inlineStr">
        <is>
          <t>O2O Platform (partner retailer model)</t>
        </is>
      </c>
      <c r="C4" s="2" t="inlineStr">
        <is>
          <t>200+ cities nationwide</t>
        </is>
      </c>
      <c r="D4" s="2" t="inlineStr">
        <is>
          <t>~15–17% (est.)</t>
        </is>
      </c>
      <c r="E4" s="2" t="inlineStr">
        <is>
          <t>N/A (platform model)</t>
        </is>
      </c>
      <c r="F4" s="2" t="n">
        <v>580</v>
      </c>
      <c r="G4" s="2" t="inlineStr">
        <is>
          <t>N/A</t>
        </is>
      </c>
      <c r="H4" s="2" t="inlineStr">
        <is>
          <t>~N/A (aggregator)</t>
        </is>
      </c>
      <c r="I4" s="2" t="inlineStr">
        <is>
          <t>&gt;80%</t>
        </is>
      </c>
      <c r="J4" s="2" t="inlineStr">
        <is>
          <t>Low – depends on partner retailer</t>
        </is>
      </c>
      <c r="K4" s="2" t="inlineStr">
        <is>
          <t>Wide – aggregates SKUs from partner stores</t>
        </is>
      </c>
      <c r="L4" s="2" t="inlineStr">
        <is>
          <t>~0% (marketplace)</t>
        </is>
      </c>
      <c r="M4" s="2" t="n">
        <v>50</v>
      </c>
      <c r="N4" s="2" t="n">
        <v>95</v>
      </c>
      <c r="O4" s="2" t="inlineStr">
        <is>
          <t>Nationwide coverage via JD.com &amp; Walmart partnership</t>
        </is>
      </c>
      <c r="P4" s="2" t="inlineStr">
        <is>
          <t>1-hour express delivery infrastructure</t>
        </is>
      </c>
      <c r="Q4" s="2" t="inlineStr">
        <is>
          <t>No control over product quality or traceability</t>
        </is>
      </c>
      <c r="R4" s="2" t="inlineStr">
        <is>
          <t>Dependent on partner retailer inventory accuracy</t>
        </is>
      </c>
      <c r="S4" s="2" t="inlineStr">
        <is>
          <t>Source: JD.com Annual Report 2024; industry estimates</t>
        </is>
      </c>
    </row>
    <row r="5" ht="22.7" customHeight="1">
      <c r="A5" s="3" t="inlineStr">
        <is>
          <t>Meituan Maicai (美团买菜)</t>
        </is>
      </c>
      <c r="B5" s="3" t="inlineStr">
        <is>
          <t>Front Warehouse (前置仓)</t>
        </is>
      </c>
      <c r="C5" s="3" t="inlineStr">
        <is>
          <t>Major Tier 1 cities (Beijing, Shanghai, Shenzhen)</t>
        </is>
      </c>
      <c r="D5" s="3" t="inlineStr">
        <is>
          <t>~22–24% (est.)</t>
        </is>
      </c>
      <c r="E5" s="3" t="inlineStr">
        <is>
          <t>N/A (division of Meituan)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700+ frontend warehouses</t>
        </is>
      </c>
      <c r="I5" s="3" t="inlineStr">
        <is>
          <t>&gt;95%</t>
        </is>
      </c>
      <c r="J5" s="3" t="inlineStr">
        <is>
          <t>Minimal – limited traceability disclosure</t>
        </is>
      </c>
      <c r="K5" s="3" t="inlineStr">
        <is>
          <t>Streamlined fresh + daily necessities</t>
        </is>
      </c>
      <c r="L5" s="3" t="inlineStr">
        <is>
          <t>~3%</t>
        </is>
      </c>
      <c r="M5" s="3" t="inlineStr">
        <is>
          <t>N/A</t>
        </is>
      </c>
      <c r="N5" s="3" t="n">
        <v>65</v>
      </c>
      <c r="O5" s="3" t="inlineStr">
        <is>
          <t>Meituan super-app traffic (700M+ MAU ecosystem)</t>
        </is>
      </c>
      <c r="P5" s="3" t="inlineStr">
        <is>
          <t>Strong delivery infrastructure; 30-min fulfillment</t>
        </is>
      </c>
      <c r="Q5" s="3" t="inlineStr">
        <is>
          <t>Limited city coverage vs Freshippo</t>
        </is>
      </c>
      <c r="R5" s="3" t="inlineStr">
        <is>
          <t>No differentiated product story or premium positioning</t>
        </is>
      </c>
      <c r="S5" s="3" t="inlineStr">
        <is>
          <t>Source: Meituan 2024 Annual Report; industry analyst estimates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8" customWidth="1" min="1" max="1"/>
    <col width="30" customWidth="1" min="2" max="2"/>
    <col width="10" customWidth="1" min="3" max="3"/>
    <col width="40" customWidth="1" min="4" max="5"/>
    <col width="25" customWidth="1" min="6" max="6"/>
    <col width="35" customWidth="1" min="7" max="7"/>
    <col width="16" customWidth="1" min="8" max="9"/>
  </cols>
  <sheetData>
    <row r="1" ht="36" customHeight="1">
      <c r="A1" s="1" t="inlineStr">
        <is>
          <t>Rank</t>
        </is>
      </c>
      <c r="B1" s="1" t="inlineStr">
        <is>
          <t>Opportunity</t>
        </is>
      </c>
      <c r="C1" s="1" t="inlineStr">
        <is>
          <t>Score</t>
        </is>
      </c>
      <c r="D1" s="1" t="inlineStr">
        <is>
          <t>Why_It_Matters</t>
        </is>
      </c>
      <c r="E1" s="1" t="inlineStr">
        <is>
          <t>How_CP_Can_Execute</t>
        </is>
      </c>
      <c r="F1" s="1" t="inlineStr">
        <is>
          <t>Target_Segment</t>
        </is>
      </c>
      <c r="G1" s="1" t="inlineStr">
        <is>
          <t>CP_Competitive_Advantage</t>
        </is>
      </c>
      <c r="H1" s="1" t="inlineStr">
        <is>
          <t>Time_Horizon</t>
        </is>
      </c>
      <c r="I1" s="1" t="inlineStr">
        <is>
          <t>Investment_Level</t>
        </is>
      </c>
    </row>
    <row r="2" ht="45.35" customHeight="1">
      <c r="A2" s="4" t="n">
        <v>1</v>
      </c>
      <c r="B2" s="5" t="inlineStr">
        <is>
          <t>Full Farm-to-Table Supply Chain Traceability Platform</t>
        </is>
      </c>
      <c r="C2" s="2" t="n">
        <v>92</v>
      </c>
      <c r="D2" s="5" t="inlineStr">
        <is>
          <t>Only 3% of China fresh e-commerce offers full traceability; 78% of middle-class consumers cite food safety as #1 concern (CNCA 2024)</t>
        </is>
      </c>
      <c r="E2" s="5" t="inlineStr">
        <is>
          <t>Leverage CP Group's 200+ agri-subsidiaries to implement QR-code blockchain traceability across all SKUs; partner with Alibaba Cloud for consumer-facing trace app</t>
        </is>
      </c>
      <c r="F2" s="5" t="inlineStr">
        <is>
          <t>Pragmatic Middle-Class Buyers (25–40, household income ¥200K+)</t>
        </is>
      </c>
      <c r="G2" s="5" t="inlineStr">
        <is>
          <t>CP Group controls entire supply chain from farm; no competitor has end-to-end traceability at scale</t>
        </is>
      </c>
      <c r="H2" s="2" t="inlineStr">
        <is>
          <t>12–18 months</t>
        </is>
      </c>
      <c r="I2" s="2" t="inlineStr">
        <is>
          <t>High (¥50–80M setup)</t>
        </is>
      </c>
    </row>
    <row r="3" ht="34" customHeight="1">
      <c r="A3" s="6" t="n">
        <v>2</v>
      </c>
      <c r="B3" s="7" t="inlineStr">
        <is>
          <t>AI-Driven Price-Quality Optimization Engine</t>
        </is>
      </c>
      <c r="C3" s="3" t="n">
        <v>88</v>
      </c>
      <c r="D3" s="7" t="inlineStr">
        <is>
          <t>Price sensitivity increased 34% in 2024; consumers demand premium quality at value prices – a gap no single player fills</t>
        </is>
      </c>
      <c r="E3" s="7" t="inlineStr">
        <is>
          <t>Deploy ML pricing models using real-time competitor price scraping + quality score algorithms; display Price-Quality Score on every product listing</t>
        </is>
      </c>
      <c r="F3" s="7" t="inlineStr">
        <is>
          <t>Value-Seeking Premium Shoppers; Pragmatic Middle-Class</t>
        </is>
      </c>
      <c r="G3" s="7" t="inlineStr">
        <is>
          <t>CP's direct sourcing eliminates 2–3 middlemen layers, enabling 15–25% cost advantage vs Freshippo on equivalent quality</t>
        </is>
      </c>
      <c r="H3" s="3" t="inlineStr">
        <is>
          <t>6–12 months</t>
        </is>
      </c>
      <c r="I3" s="3" t="inlineStr">
        <is>
          <t>Medium (¥20–35M)</t>
        </is>
      </c>
    </row>
    <row r="4" ht="45.35" customHeight="1">
      <c r="A4" s="4" t="n">
        <v>3</v>
      </c>
      <c r="B4" s="5" t="inlineStr">
        <is>
          <t>Yangtze River Delta Regional Dominance Strategy</t>
        </is>
      </c>
      <c r="C4" s="2" t="n">
        <v>85</v>
      </c>
      <c r="D4" s="5" t="inlineStr">
        <is>
          <t>Shanghai/Jiangsu/Zhejiang = 25% of China's consumer spending; market still fragmented with no clear #1 player outside Tier 1 cities</t>
        </is>
      </c>
      <c r="E4" s="5" t="inlineStr">
        <is>
          <t>Focus first 3 years exclusively on YRD cities; build 500 front warehouses in Shanghai + 200 in Nanjing/Suzhou/Hangzhou; replicate Dingdong's density model but with traceability differentiation</t>
        </is>
      </c>
      <c r="F4" s="5" t="inlineStr">
        <is>
          <t>Urban households in YRD cities; emerging middle-class in Suzhou/Nanjing/Wuxi</t>
        </is>
      </c>
      <c r="G4" s="5" t="inlineStr">
        <is>
          <t>CP Group has existing logistics &amp; cold chain assets in Thailand/ASEAN adaptable to YRD; lower greenfield cost vs national expansion</t>
        </is>
      </c>
      <c r="H4" s="2" t="inlineStr">
        <is>
          <t>24–36 months</t>
        </is>
      </c>
      <c r="I4" s="2" t="inlineStr">
        <is>
          <t>High (¥200–400M)</t>
        </is>
      </c>
    </row>
    <row r="5" ht="45.35" customHeight="1">
      <c r="A5" s="6" t="n">
        <v>4</v>
      </c>
      <c r="B5" s="7" t="inlineStr">
        <is>
          <t>Personalized AI Shopping Assistant &amp; Recommendation</t>
        </is>
      </c>
      <c r="C5" s="3" t="n">
        <v>82</v>
      </c>
      <c r="D5" s="7" t="inlineStr">
        <is>
          <t>Repeat purchase rate for personalized platforms is 2.3x higher; 65% of consumers want AI meal planning (iResearch 2024)</t>
        </is>
      </c>
      <c r="E5" s="7" t="inlineStr">
        <is>
          <t>Build LLM-powered in-app assistant trained on nutritional data, seasonal availability, and user purchase history; integrate meal planning + auto-reorder</t>
        </is>
      </c>
      <c r="F5" s="7" t="inlineStr">
        <is>
          <t>Health-conscious urban millennials; families with young children</t>
        </is>
      </c>
      <c r="G5" s="7" t="inlineStr">
        <is>
          <t>CP Group's F&amp;B expertise (processing, recipes) enables proprietary food knowledge base unavailable to pure logistics players</t>
        </is>
      </c>
      <c r="H5" s="3" t="inlineStr">
        <is>
          <t>9–15 months</t>
        </is>
      </c>
      <c r="I5" s="3" t="inlineStr">
        <is>
          <t>Medium (¥25–40M)</t>
        </is>
      </c>
    </row>
    <row r="6" ht="34" customHeight="1">
      <c r="A6" s="4" t="n">
        <v>5</v>
      </c>
      <c r="B6" s="5" t="inlineStr">
        <is>
          <t>Private Label Fresh Brand Development</t>
        </is>
      </c>
      <c r="C6" s="2" t="n">
        <v>79</v>
      </c>
      <c r="D6" s="5" t="inlineStr">
        <is>
          <t>Freshippo's 35% private label SKUs generate 40–60% higher margins vs branded equivalents; no front-warehouse player has scaled private label</t>
        </is>
      </c>
      <c r="E6" s="5" t="inlineStr">
        <is>
          <t>Launch 'CP Select' private label range starting with 50 SKUs (eggs, produce, protein); leverage CP's Thailand farms for exotic/premium differentiation</t>
        </is>
      </c>
      <c r="F6" s="5" t="inlineStr">
        <is>
          <t>Quality-first shoppers; cooking enthusiasts; health-conscious buyers</t>
        </is>
      </c>
      <c r="G6" s="5" t="inlineStr">
        <is>
          <t>CP Group's own farms in Thailand &amp; China enable unique origin stories (e.g., 'CP Thai Organic Rice') competitors cannot replicate</t>
        </is>
      </c>
      <c r="H6" s="2" t="inlineStr">
        <is>
          <t>18–24 months</t>
        </is>
      </c>
      <c r="I6" s="2" t="inlineStr">
        <is>
          <t>Medium (¥30–50M)</t>
        </is>
      </c>
    </row>
    <row r="7" ht="34" customHeight="1">
      <c r="A7" s="6" t="n">
        <v>6</v>
      </c>
      <c r="B7" s="7" t="inlineStr">
        <is>
          <t>Community Group Buying for Tier 2/3 Cities</t>
        </is>
      </c>
      <c r="C7" s="3" t="n">
        <v>71</v>
      </c>
      <c r="D7" s="7" t="inlineStr">
        <is>
          <t>Tier 2/3 cities have 60% of China's population but only 28% of fresh e-commerce penetration; community model reduces logistics cost by 40%</t>
        </is>
      </c>
      <c r="E7" s="7" t="inlineStr">
        <is>
          <t>Partner with community leaders (团长) in Suzhou/Changzhou/Wuxi suburbs; offer CP-branded fresh bundles with 24-hour advance ordering</t>
        </is>
      </c>
      <c r="F7" s="7" t="inlineStr">
        <is>
          <t>Budget-conscious families in suburban/smaller cities; retirees</t>
        </is>
      </c>
      <c r="G7" s="7" t="inlineStr">
        <is>
          <t>CP's cold chain logistics network can serve as community pickup points; lower CAC vs front warehouse model</t>
        </is>
      </c>
      <c r="H7" s="3" t="inlineStr">
        <is>
          <t>18–30 months</t>
        </is>
      </c>
      <c r="I7" s="3" t="inlineStr">
        <is>
          <t>Low-Medium (¥10–20M)</t>
        </is>
      </c>
    </row>
    <row r="8" ht="45.35" customHeight="1">
      <c r="A8" s="4" t="n">
        <v>7</v>
      </c>
      <c r="B8" s="5" t="inlineStr">
        <is>
          <t>Health &amp; Wellness Premium Segment (Organic/Functional)</t>
        </is>
      </c>
      <c r="C8" s="2" t="n">
        <v>68</v>
      </c>
      <c r="D8" s="5" t="inlineStr">
        <is>
          <t>Organic food market in China grew 15% in 2024 to ¥120B; only 8% sold via e-commerce; large unmet demand for certified organic fresh delivery</t>
        </is>
      </c>
      <c r="E8" s="5" t="inlineStr">
        <is>
          <t>Create dedicated 'CP Wellness' SKU range: certified organic vegetables, antibiotic-free protein, functional foods; charge 20–30% premium</t>
        </is>
      </c>
      <c r="F8" s="5" t="inlineStr">
        <is>
          <t>HENRYS (High Earners Not Rich Yet); health-conscious millennials; expat community in Shanghai</t>
        </is>
      </c>
      <c r="G8" s="5" t="inlineStr">
        <is>
          <t>CP Thailand's existing organic certification (GlobalG.A.P.) and ASEAN sourcing network provides authentic origin premium unavailable to domestic competitors</t>
        </is>
      </c>
      <c r="H8" s="2" t="inlineStr">
        <is>
          <t>12–18 months</t>
        </is>
      </c>
      <c r="I8" s="2" t="inlineStr">
        <is>
          <t>Medium (¥20–30M)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2" customWidth="1" min="1" max="1"/>
    <col width="28" customWidth="1" min="2" max="2"/>
    <col width="20" customWidth="1" min="3" max="3"/>
    <col width="22" customWidth="1" min="4" max="4"/>
    <col width="16" customWidth="1" min="5" max="5"/>
    <col width="18" customWidth="1" min="6" max="6"/>
    <col width="12" customWidth="1" min="7" max="7"/>
    <col width="16" customWidth="1" min="8" max="8"/>
    <col width="12" customWidth="1" min="9" max="9"/>
    <col width="14" customWidth="1" min="10" max="12"/>
    <col width="22" customWidth="1" min="13" max="13"/>
    <col width="12" customWidth="1" min="14" max="14"/>
    <col width="40" customWidth="1" min="15" max="15"/>
    <col width="30" customWidth="1" min="16" max="16"/>
  </cols>
  <sheetData>
    <row r="1" ht="36" customHeight="1">
      <c r="A1" s="1" t="inlineStr">
        <is>
          <t>Product_ID</t>
        </is>
      </c>
      <c r="B1" s="1" t="inlineStr">
        <is>
          <t>Name_EN</t>
        </is>
      </c>
      <c r="C1" s="1" t="inlineStr">
        <is>
          <t>Name_CN</t>
        </is>
      </c>
      <c r="D1" s="1" t="inlineStr">
        <is>
          <t>Origin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Price_CNY</t>
        </is>
      </c>
      <c r="H1" s="1" t="inlineStr">
        <is>
          <t>Original_Price_CNY</t>
        </is>
      </c>
      <c r="I1" s="1" t="inlineStr">
        <is>
          <t>Discount_Pct</t>
        </is>
      </c>
      <c r="J1" s="1" t="inlineStr">
        <is>
          <t>Quality_Score</t>
        </is>
      </c>
      <c r="K1" s="1" t="inlineStr">
        <is>
          <t>Stability_Score</t>
        </is>
      </c>
      <c r="L1" s="1" t="inlineStr">
        <is>
          <t>Freshness_Days</t>
        </is>
      </c>
      <c r="M1" s="1" t="inlineStr">
        <is>
          <t>Certification</t>
        </is>
      </c>
      <c r="N1" s="1" t="inlineStr">
        <is>
          <t>Private_Label</t>
        </is>
      </c>
      <c r="O1" s="1" t="inlineStr">
        <is>
          <t>Description</t>
        </is>
      </c>
      <c r="P1" s="1" t="inlineStr">
        <is>
          <t>Tags</t>
        </is>
      </c>
      <c r="Q1" t="inlineStr">
        <is>
          <t>Unit</t>
        </is>
      </c>
      <c r="R1" t="inlineStr">
        <is>
          <t>Stock_Status</t>
        </is>
      </c>
    </row>
    <row r="2" ht="22.7" customHeight="1">
      <c r="A2" s="5" t="inlineStr">
        <is>
          <t>P001</t>
        </is>
      </c>
      <c r="B2" s="5" t="inlineStr">
        <is>
          <t>Organic Baby Spinach</t>
        </is>
      </c>
      <c r="C2" s="5" t="inlineStr">
        <is>
          <t>有机嫩菠菜</t>
        </is>
      </c>
      <c r="D2" s="5" t="inlineStr">
        <is>
          <t>Shandong Province, China</t>
        </is>
      </c>
      <c r="E2" s="5" t="inlineStr">
        <is>
          <t>Vegetables</t>
        </is>
      </c>
      <c r="F2" s="5" t="inlineStr">
        <is>
          <t>Leafy Greens</t>
        </is>
      </c>
      <c r="G2" s="18" t="n">
        <v>18.9</v>
      </c>
      <c r="H2" s="18" t="n">
        <v>22.9</v>
      </c>
      <c r="I2" s="19">
        <f>ROUND((1-G2/H2)*100,1)</f>
        <v/>
      </c>
      <c r="J2" s="2" t="n">
        <v>95</v>
      </c>
      <c r="K2" s="2" t="n">
        <v>92</v>
      </c>
      <c r="L2" s="2" t="n">
        <v>4</v>
      </c>
      <c r="M2" s="5" t="inlineStr">
        <is>
          <t>Organic Certified (CNCA)</t>
        </is>
      </c>
      <c r="N2" s="5" t="b">
        <v>0</v>
      </c>
      <c r="O2" s="5" t="inlineStr">
        <is>
          <t>Fresh-picked baby spinach from certified organic farms in Shandong. Rich in iron and folate.</t>
        </is>
      </c>
      <c r="P2" s="5" t="inlineStr">
        <is>
          <t>organic,leafy,healthy,salad</t>
        </is>
      </c>
      <c r="Q2" t="inlineStr">
        <is>
          <t>bag (200g)</t>
        </is>
      </c>
      <c r="R2" t="inlineStr">
        <is>
          <t>In Stock</t>
        </is>
      </c>
    </row>
    <row r="3" ht="22.7" customHeight="1">
      <c r="A3" s="7" t="inlineStr">
        <is>
          <t>P002</t>
        </is>
      </c>
      <c r="B3" s="7" t="inlineStr">
        <is>
          <t>Grass-Fed Australian Beef Ribeye</t>
        </is>
      </c>
      <c r="C3" s="7" t="inlineStr">
        <is>
          <t>澳洲草饲肋眼牛排</t>
        </is>
      </c>
      <c r="D3" s="7" t="inlineStr">
        <is>
          <t>Victoria, Australia</t>
        </is>
      </c>
      <c r="E3" s="7" t="inlineStr">
        <is>
          <t>Meat &amp; Seafood</t>
        </is>
      </c>
      <c r="F3" s="7" t="inlineStr">
        <is>
          <t>Beef</t>
        </is>
      </c>
      <c r="G3" s="20" t="n">
        <v>89.90000000000001</v>
      </c>
      <c r="H3" s="20" t="n">
        <v>109.9</v>
      </c>
      <c r="I3" s="21">
        <f>ROUND((1-G3/H3)*100,1)</f>
        <v/>
      </c>
      <c r="J3" s="3" t="n">
        <v>96</v>
      </c>
      <c r="K3" s="3" t="n">
        <v>90</v>
      </c>
      <c r="L3" s="3" t="n">
        <v>10</v>
      </c>
      <c r="M3" s="7" t="inlineStr">
        <is>
          <t>Antibiotic-Free; Grass-Fed Certified</t>
        </is>
      </c>
      <c r="N3" s="7" t="b">
        <v>0</v>
      </c>
      <c r="O3" s="7" t="inlineStr">
        <is>
          <t>Premium ribeye from free-range grass-fed cattle in Victoria. No antibiotics or growth hormones.</t>
        </is>
      </c>
      <c r="P3" s="7" t="inlineStr">
        <is>
          <t>premium,imported,protein,grass-fed</t>
        </is>
      </c>
      <c r="Q3" t="inlineStr">
        <is>
          <t>piece (300g)</t>
        </is>
      </c>
      <c r="R3" t="inlineStr">
        <is>
          <t>In Stock</t>
        </is>
      </c>
    </row>
    <row r="4" ht="22.7" customHeight="1">
      <c r="A4" s="5" t="inlineStr">
        <is>
          <t>P003</t>
        </is>
      </c>
      <c r="B4" s="5" t="inlineStr">
        <is>
          <t>CP Thai Jasmine Rice 5kg</t>
        </is>
      </c>
      <c r="C4" s="5" t="inlineStr">
        <is>
          <t>泰国茉莉香米5公斤</t>
        </is>
      </c>
      <c r="D4" s="5" t="inlineStr">
        <is>
          <t>Chiang Rai, Thailand</t>
        </is>
      </c>
      <c r="E4" s="5" t="inlineStr">
        <is>
          <t>Pantry</t>
        </is>
      </c>
      <c r="F4" s="5" t="inlineStr">
        <is>
          <t>Grains</t>
        </is>
      </c>
      <c r="G4" s="18" t="n">
        <v>68</v>
      </c>
      <c r="H4" s="18" t="n">
        <v>78</v>
      </c>
      <c r="I4" s="19">
        <f>ROUND((1-G4/H4)*100,1)</f>
        <v/>
      </c>
      <c r="J4" s="2" t="n">
        <v>94</v>
      </c>
      <c r="K4" s="2" t="n">
        <v>98</v>
      </c>
      <c r="L4" s="2" t="n">
        <v>365</v>
      </c>
      <c r="M4" s="5" t="inlineStr">
        <is>
          <t>Thailand GI Certified; CP Select</t>
        </is>
      </c>
      <c r="N4" s="5" t="b">
        <v>1</v>
      </c>
      <c r="O4" s="5" t="inlineStr">
        <is>
          <t>Authentic Hom Mali jasmine rice from CP Group's own farms in Chiang Rai. Fragrant, long-grain.</t>
        </is>
      </c>
      <c r="P4" s="5" t="inlineStr">
        <is>
          <t>CP-select,premium,imported,staple</t>
        </is>
      </c>
      <c r="Q4" t="inlineStr">
        <is>
          <t>bag (5kg)</t>
        </is>
      </c>
      <c r="R4" t="inlineStr">
        <is>
          <t>In Stock</t>
        </is>
      </c>
    </row>
    <row r="5" ht="22.7" customHeight="1">
      <c r="A5" s="7" t="inlineStr">
        <is>
          <t>P004</t>
        </is>
      </c>
      <c r="B5" s="7" t="inlineStr">
        <is>
          <t>Heirloom Cherry Tomatoes 500g</t>
        </is>
      </c>
      <c r="C5" s="7" t="inlineStr">
        <is>
          <t>彩色樱桃番茄500g</t>
        </is>
      </c>
      <c r="D5" s="7" t="inlineStr">
        <is>
          <t>Yunnan Province, China</t>
        </is>
      </c>
      <c r="E5" s="7" t="inlineStr">
        <is>
          <t>Vegetables</t>
        </is>
      </c>
      <c r="F5" s="7" t="inlineStr">
        <is>
          <t>Fruit Veg</t>
        </is>
      </c>
      <c r="G5" s="20" t="n">
        <v>24.9</v>
      </c>
      <c r="H5" s="20" t="n">
        <v>29.9</v>
      </c>
      <c r="I5" s="21">
        <f>ROUND((1-G5/H5)*100,1)</f>
        <v/>
      </c>
      <c r="J5" s="3" t="n">
        <v>93</v>
      </c>
      <c r="K5" s="3" t="n">
        <v>88</v>
      </c>
      <c r="L5" s="3" t="n">
        <v>5</v>
      </c>
      <c r="M5" s="7" t="inlineStr">
        <is>
          <t>GAP Certified</t>
        </is>
      </c>
      <c r="N5" s="7" t="b">
        <v>0</v>
      </c>
      <c r="O5" s="7" t="inlineStr">
        <is>
          <t>Mixed heirloom cherry tomatoes (red, orange, yellow) from high-altitude Yunnan farms. Sweet &amp; tangy.</t>
        </is>
      </c>
      <c r="P5" s="7" t="inlineStr">
        <is>
          <t>colorful,seasonal,fresh,salad</t>
        </is>
      </c>
      <c r="Q5" t="inlineStr">
        <is>
          <t>box (500g)</t>
        </is>
      </c>
      <c r="R5" t="inlineStr">
        <is>
          <t>In Stock</t>
        </is>
      </c>
    </row>
    <row r="6" ht="34" customHeight="1">
      <c r="A6" s="5" t="inlineStr">
        <is>
          <t>P005</t>
        </is>
      </c>
      <c r="B6" s="5" t="inlineStr">
        <is>
          <t>Live Jiangnan River Crab (Hairy Crab)</t>
        </is>
      </c>
      <c r="C6" s="5" t="inlineStr">
        <is>
          <t>江南阳澄湖大闸蟹</t>
        </is>
      </c>
      <c r="D6" s="5" t="inlineStr">
        <is>
          <t>Yangcheng Lake, Jiangsu</t>
        </is>
      </c>
      <c r="E6" s="5" t="inlineStr">
        <is>
          <t>Meat &amp; Seafood</t>
        </is>
      </c>
      <c r="F6" s="5" t="inlineStr">
        <is>
          <t>Shellfish</t>
        </is>
      </c>
      <c r="G6" s="18" t="n">
        <v>198</v>
      </c>
      <c r="H6" s="18" t="n">
        <v>238</v>
      </c>
      <c r="I6" s="19">
        <f>ROUND((1-G6/H6)*100,1)</f>
        <v/>
      </c>
      <c r="J6" s="2" t="n">
        <v>98</v>
      </c>
      <c r="K6" s="2" t="n">
        <v>95</v>
      </c>
      <c r="L6" s="2" t="n">
        <v>2</v>
      </c>
      <c r="M6" s="5" t="inlineStr">
        <is>
          <t>Yangcheng Lake Authentic Seal</t>
        </is>
      </c>
      <c r="N6" s="5" t="b">
        <v>0</v>
      </c>
      <c r="O6" s="5" t="inlineStr">
        <is>
          <t>Premium female hairy crab from Yangcheng Lake – the gold standard of Chinese freshwater crabs. Live delivery.</t>
        </is>
      </c>
      <c r="P6" s="5" t="inlineStr">
        <is>
          <t>premium,seasonal,delicacy,live</t>
        </is>
      </c>
      <c r="Q6" t="inlineStr">
        <is>
          <t>pair</t>
        </is>
      </c>
      <c r="R6" t="inlineStr">
        <is>
          <t>Out of Stock</t>
        </is>
      </c>
    </row>
    <row r="7" ht="22.7" customHeight="1">
      <c r="A7" s="7" t="inlineStr">
        <is>
          <t>P006</t>
        </is>
      </c>
      <c r="B7" s="7" t="inlineStr">
        <is>
          <t>Free-Range Organic Eggs (30pcs)</t>
        </is>
      </c>
      <c r="C7" s="7" t="inlineStr">
        <is>
          <t>散养有机鸡蛋30枚</t>
        </is>
      </c>
      <c r="D7" s="7" t="inlineStr">
        <is>
          <t>Anhui Province, China</t>
        </is>
      </c>
      <c r="E7" s="7" t="inlineStr">
        <is>
          <t>Dairy &amp; Eggs</t>
        </is>
      </c>
      <c r="F7" s="7" t="inlineStr">
        <is>
          <t>Eggs</t>
        </is>
      </c>
      <c r="G7" s="20" t="n">
        <v>58</v>
      </c>
      <c r="H7" s="20" t="n">
        <v>68</v>
      </c>
      <c r="I7" s="21">
        <f>ROUND((1-G7/H7)*100,1)</f>
        <v/>
      </c>
      <c r="J7" s="3" t="n">
        <v>92</v>
      </c>
      <c r="K7" s="3" t="n">
        <v>96</v>
      </c>
      <c r="L7" s="3" t="n">
        <v>21</v>
      </c>
      <c r="M7" s="7" t="inlineStr">
        <is>
          <t>Organic Certified; Animal Welfare</t>
        </is>
      </c>
      <c r="N7" s="7" t="b">
        <v>0</v>
      </c>
      <c r="O7" s="7" t="inlineStr">
        <is>
          <t>Eggs from free-range chickens fed on organic grain. Rich yolk, certified by CNCA organic standards.</t>
        </is>
      </c>
      <c r="P7" s="7" t="inlineStr">
        <is>
          <t>organic,daily,healthy,protein</t>
        </is>
      </c>
      <c r="Q7" t="inlineStr">
        <is>
          <t>box (30pcs)</t>
        </is>
      </c>
      <c r="R7" t="inlineStr">
        <is>
          <t>In Stock</t>
        </is>
      </c>
    </row>
    <row r="8" ht="22.7" customHeight="1">
      <c r="A8" s="5" t="inlineStr">
        <is>
          <t>P007</t>
        </is>
      </c>
      <c r="B8" s="5" t="inlineStr">
        <is>
          <t>Wild Caught Norwegian Salmon Fillet 400g</t>
        </is>
      </c>
      <c r="C8" s="5" t="inlineStr">
        <is>
          <t>挪威野生三文鱼排400g</t>
        </is>
      </c>
      <c r="D8" s="5" t="inlineStr">
        <is>
          <t>Norwegian Sea, Norway</t>
        </is>
      </c>
      <c r="E8" s="5" t="inlineStr">
        <is>
          <t>Meat &amp; Seafood</t>
        </is>
      </c>
      <c r="F8" s="5" t="inlineStr">
        <is>
          <t>Fish</t>
        </is>
      </c>
      <c r="G8" s="18" t="n">
        <v>128</v>
      </c>
      <c r="H8" s="18" t="n">
        <v>158</v>
      </c>
      <c r="I8" s="19">
        <f>ROUND((1-G8/H8)*100,1)</f>
        <v/>
      </c>
      <c r="J8" s="2" t="n">
        <v>97</v>
      </c>
      <c r="K8" s="2" t="n">
        <v>85</v>
      </c>
      <c r="L8" s="2" t="n">
        <v>4</v>
      </c>
      <c r="M8" s="5" t="inlineStr">
        <is>
          <t>MSC Certified Sustainable</t>
        </is>
      </c>
      <c r="N8" s="5" t="b">
        <v>0</v>
      </c>
      <c r="O8" s="5" t="inlineStr">
        <is>
          <t>Wild-caught Atlantic salmon from Norwegian waters. Cold-chain shipped at -2°C. Rich in Omega-3.</t>
        </is>
      </c>
      <c r="P8" s="5" t="inlineStr">
        <is>
          <t>imported,premium,omega3,healthy</t>
        </is>
      </c>
      <c r="Q8" t="inlineStr">
        <is>
          <t>fillet (400g)</t>
        </is>
      </c>
      <c r="R8" t="inlineStr">
        <is>
          <t>Out of Stock</t>
        </is>
      </c>
    </row>
    <row r="9" ht="22.7" customHeight="1">
      <c r="A9" s="7" t="inlineStr">
        <is>
          <t>P008</t>
        </is>
      </c>
      <c r="B9" s="7" t="inlineStr">
        <is>
          <t>CP Organic Chicken Breast 500g</t>
        </is>
      </c>
      <c r="C9" s="7" t="inlineStr">
        <is>
          <t>CP有机鸡胸肉500g</t>
        </is>
      </c>
      <c r="D9" s="7" t="inlineStr">
        <is>
          <t>Sichuan Province, China</t>
        </is>
      </c>
      <c r="E9" s="7" t="inlineStr">
        <is>
          <t>Meat &amp; Seafood</t>
        </is>
      </c>
      <c r="F9" s="7" t="inlineStr">
        <is>
          <t>Poultry</t>
        </is>
      </c>
      <c r="G9" s="20" t="n">
        <v>45</v>
      </c>
      <c r="H9" s="20" t="n">
        <v>55</v>
      </c>
      <c r="I9" s="21">
        <f>ROUND((1-G9/H9)*100,1)</f>
        <v/>
      </c>
      <c r="J9" s="3" t="n">
        <v>91</v>
      </c>
      <c r="K9" s="3" t="n">
        <v>93</v>
      </c>
      <c r="L9" s="3" t="n">
        <v>7</v>
      </c>
      <c r="M9" s="7" t="inlineStr">
        <is>
          <t>Organic Certified; CP Select</t>
        </is>
      </c>
      <c r="N9" s="7" t="b">
        <v>1</v>
      </c>
      <c r="O9" s="7" t="inlineStr">
        <is>
          <t>CP Group's own-farm organic chicken. Antibiotic-free, vegetable-fed. Ideal for meal prep.</t>
        </is>
      </c>
      <c r="P9" s="7" t="inlineStr">
        <is>
          <t>CP-select,organic,protein,healthy</t>
        </is>
      </c>
      <c r="Q9" t="inlineStr">
        <is>
          <t>pack (500g)</t>
        </is>
      </c>
      <c r="R9" t="inlineStr">
        <is>
          <t>In Stock</t>
        </is>
      </c>
    </row>
    <row r="10" ht="22.7" customHeight="1">
      <c r="A10" s="5" t="inlineStr">
        <is>
          <t>P009</t>
        </is>
      </c>
      <c r="B10" s="5" t="inlineStr">
        <is>
          <t>Sichuan Red Kiwi 1kg</t>
        </is>
      </c>
      <c r="C10" s="5" t="inlineStr">
        <is>
          <t>四川红心猕猴桃1公斤</t>
        </is>
      </c>
      <c r="D10" s="5" t="inlineStr">
        <is>
          <t>Ya'an, Sichuan</t>
        </is>
      </c>
      <c r="E10" s="5" t="inlineStr">
        <is>
          <t>Fruit</t>
        </is>
      </c>
      <c r="F10" s="5" t="inlineStr">
        <is>
          <t>Exotic Fruit</t>
        </is>
      </c>
      <c r="G10" s="18" t="n">
        <v>39</v>
      </c>
      <c r="H10" s="18" t="n">
        <v>48</v>
      </c>
      <c r="I10" s="19">
        <f>ROUND((1-G10/H10)*100,1)</f>
        <v/>
      </c>
      <c r="J10" s="2" t="n">
        <v>90</v>
      </c>
      <c r="K10" s="2" t="n">
        <v>87</v>
      </c>
      <c r="L10" s="2" t="n">
        <v>7</v>
      </c>
      <c r="M10" s="5" t="inlineStr">
        <is>
          <t>GAP Certified; Geographic Indication</t>
        </is>
      </c>
      <c r="N10" s="5" t="b">
        <v>0</v>
      </c>
      <c r="O10" s="5" t="inlineStr">
        <is>
          <t>Sweet red-fleshed kiwi from Ya'an's famous kiwi growing region. High in Vitamin C and antioxidants.</t>
        </is>
      </c>
      <c r="P10" s="5" t="inlineStr">
        <is>
          <t>seasonal,vitamin-c,premium,fruit</t>
        </is>
      </c>
      <c r="Q10" t="inlineStr">
        <is>
          <t>bag (1kg)</t>
        </is>
      </c>
      <c r="R10" t="inlineStr">
        <is>
          <t>Out of Stock</t>
        </is>
      </c>
    </row>
    <row r="11" ht="22.7" customHeight="1">
      <c r="A11" s="7" t="inlineStr">
        <is>
          <t>P010</t>
        </is>
      </c>
      <c r="B11" s="7" t="inlineStr">
        <is>
          <t>Dongbei Premium Tofu Set (Silken + Firm)</t>
        </is>
      </c>
      <c r="C11" s="7" t="inlineStr">
        <is>
          <t>东北有机豆腐礼盒</t>
        </is>
      </c>
      <c r="D11" s="7" t="inlineStr">
        <is>
          <t>Heilongjiang Province, China</t>
        </is>
      </c>
      <c r="E11" s="7" t="inlineStr">
        <is>
          <t>Dairy &amp; Eggs</t>
        </is>
      </c>
      <c r="F11" s="7" t="inlineStr">
        <is>
          <t>Tofu &amp; Soy</t>
        </is>
      </c>
      <c r="G11" s="20" t="n">
        <v>28</v>
      </c>
      <c r="H11" s="20" t="n">
        <v>33</v>
      </c>
      <c r="I11" s="21">
        <f>ROUND((1-G11/H11)*100,1)</f>
        <v/>
      </c>
      <c r="J11" s="3" t="n">
        <v>88</v>
      </c>
      <c r="K11" s="3" t="n">
        <v>94</v>
      </c>
      <c r="L11" s="3" t="n">
        <v>5</v>
      </c>
      <c r="M11" s="7" t="inlineStr">
        <is>
          <t>Non-GMO Soy Certified</t>
        </is>
      </c>
      <c r="N11" s="7" t="b">
        <v>0</v>
      </c>
      <c r="O11" s="7" t="inlineStr">
        <is>
          <t>Traditional stone-ground tofu from non-GMO Dongbei soybeans. Two textures: silken and firm.</t>
        </is>
      </c>
      <c r="P11" s="7" t="inlineStr">
        <is>
          <t>vegan,protein,traditional,non-gmo</t>
        </is>
      </c>
      <c r="Q11" t="inlineStr">
        <is>
          <t>set (2pcs)</t>
        </is>
      </c>
      <c r="R11" t="inlineStr">
        <is>
          <t>In Stock</t>
        </is>
      </c>
    </row>
    <row r="12" ht="22.7" customHeight="1">
      <c r="A12" s="5" t="inlineStr">
        <is>
          <t>P011</t>
        </is>
      </c>
      <c r="B12" s="5" t="inlineStr">
        <is>
          <t>French Président Butter 250g</t>
        </is>
      </c>
      <c r="C12" s="5" t="inlineStr">
        <is>
          <t>法国皇室黄油250g</t>
        </is>
      </c>
      <c r="D12" s="5" t="inlineStr">
        <is>
          <t>Normandy, France</t>
        </is>
      </c>
      <c r="E12" s="5" t="inlineStr">
        <is>
          <t>Dairy &amp; Eggs</t>
        </is>
      </c>
      <c r="F12" s="5" t="inlineStr">
        <is>
          <t>Butter &amp; Cream</t>
        </is>
      </c>
      <c r="G12" s="18" t="n">
        <v>68</v>
      </c>
      <c r="H12" s="18" t="n">
        <v>75</v>
      </c>
      <c r="I12" s="19">
        <f>ROUND((1-G12/H12)*100,1)</f>
        <v/>
      </c>
      <c r="J12" s="2" t="n">
        <v>95</v>
      </c>
      <c r="K12" s="2" t="n">
        <v>97</v>
      </c>
      <c r="L12" s="2" t="n">
        <v>60</v>
      </c>
      <c r="M12" s="5" t="inlineStr">
        <is>
          <t>AOC Normandy Certified; Imported</t>
        </is>
      </c>
      <c r="N12" s="5" t="b">
        <v>0</v>
      </c>
      <c r="O12" s="5" t="inlineStr">
        <is>
          <t>Iconic French churned butter from Normandy grass-fed cows. Imported directly. Perfect for baking.</t>
        </is>
      </c>
      <c r="P12" s="5" t="inlineStr">
        <is>
          <t>imported,premium,baking,dairy</t>
        </is>
      </c>
      <c r="Q12" t="inlineStr">
        <is>
          <t>pack (250g)</t>
        </is>
      </c>
      <c r="R12" t="inlineStr">
        <is>
          <t>Out of Stock</t>
        </is>
      </c>
    </row>
    <row r="13" ht="22.7" customHeight="1">
      <c r="A13" s="7" t="inlineStr">
        <is>
          <t>P012</t>
        </is>
      </c>
      <c r="B13" s="7" t="inlineStr">
        <is>
          <t>Xinjiang Hami Melon Half</t>
        </is>
      </c>
      <c r="C13" s="7" t="inlineStr">
        <is>
          <t>新疆哈密瓜（半个）</t>
        </is>
      </c>
      <c r="D13" s="7" t="inlineStr">
        <is>
          <t>Turpan, Xinjiang</t>
        </is>
      </c>
      <c r="E13" s="7" t="inlineStr">
        <is>
          <t>Fruit</t>
        </is>
      </c>
      <c r="F13" s="7" t="inlineStr">
        <is>
          <t>Melon</t>
        </is>
      </c>
      <c r="G13" s="20" t="n">
        <v>42</v>
      </c>
      <c r="H13" s="20" t="n">
        <v>52</v>
      </c>
      <c r="I13" s="21">
        <f>ROUND((1-G13/H13)*100,1)</f>
        <v/>
      </c>
      <c r="J13" s="3" t="n">
        <v>96</v>
      </c>
      <c r="K13" s="3" t="n">
        <v>89</v>
      </c>
      <c r="L13" s="3" t="n">
        <v>5</v>
      </c>
      <c r="M13" s="7" t="inlineStr">
        <is>
          <t>Geographic Indication; Sugar &gt;15°</t>
        </is>
      </c>
      <c r="N13" s="7" t="b">
        <v>0</v>
      </c>
      <c r="O13" s="7" t="inlineStr">
        <is>
          <t>Iconic Xinjiang Hami melon, air-flown from Turpan. Sweetness guaranteed above 15° Brix.</t>
        </is>
      </c>
      <c r="P13" s="7" t="inlineStr">
        <is>
          <t>seasonal,premium,sweet,fruit</t>
        </is>
      </c>
      <c r="Q13" t="inlineStr">
        <is>
          <t>piece (half)</t>
        </is>
      </c>
      <c r="R13" t="inlineStr">
        <is>
          <t>Out of Stock</t>
        </is>
      </c>
    </row>
    <row r="14" ht="22.7" customHeight="1">
      <c r="A14" s="5" t="inlineStr">
        <is>
          <t>P013</t>
        </is>
      </c>
      <c r="B14" s="5" t="inlineStr">
        <is>
          <t>CP Thai Coconut Water 6-pack</t>
        </is>
      </c>
      <c r="C14" s="5" t="inlineStr">
        <is>
          <t>泰国椰子水6瓶装</t>
        </is>
      </c>
      <c r="D14" s="5" t="inlineStr">
        <is>
          <t>Prachuap Khiri Khan, Thailand</t>
        </is>
      </c>
      <c r="E14" s="5" t="inlineStr">
        <is>
          <t>Beverages</t>
        </is>
      </c>
      <c r="F14" s="5" t="inlineStr">
        <is>
          <t>Natural Drinks</t>
        </is>
      </c>
      <c r="G14" s="18" t="n">
        <v>52</v>
      </c>
      <c r="H14" s="18" t="n">
        <v>62</v>
      </c>
      <c r="I14" s="19">
        <f>ROUND((1-G14/H14)*100,1)</f>
        <v/>
      </c>
      <c r="J14" s="2" t="n">
        <v>89</v>
      </c>
      <c r="K14" s="2" t="n">
        <v>98</v>
      </c>
      <c r="L14" s="2" t="n">
        <v>180</v>
      </c>
      <c r="M14" s="5" t="inlineStr">
        <is>
          <t>CP Select; Natural; No Additive</t>
        </is>
      </c>
      <c r="N14" s="5" t="b">
        <v>1</v>
      </c>
      <c r="O14" s="5" t="inlineStr">
        <is>
          <t>Pure young coconut water from CP's Thai coconut farms. No added sugar or preservatives. 250ml × 6.</t>
        </is>
      </c>
      <c r="P14" s="5" t="inlineStr">
        <is>
          <t>CP-select,imported,hydration,natural</t>
        </is>
      </c>
      <c r="Q14" t="inlineStr">
        <is>
          <t>6-pack (250ml×6)</t>
        </is>
      </c>
      <c r="R14" t="inlineStr">
        <is>
          <t>In Stock</t>
        </is>
      </c>
    </row>
    <row r="15" ht="22.7" customHeight="1">
      <c r="A15" s="7" t="inlineStr">
        <is>
          <t>P014</t>
        </is>
      </c>
      <c r="B15" s="7" t="inlineStr">
        <is>
          <t>Yunnan Wild Porcini Mushrooms 200g</t>
        </is>
      </c>
      <c r="C15" s="7" t="inlineStr">
        <is>
          <t>云南野生牛肝菌200g</t>
        </is>
      </c>
      <c r="D15" s="7" t="inlineStr">
        <is>
          <t>Diqing Prefecture, Yunnan</t>
        </is>
      </c>
      <c r="E15" s="7" t="inlineStr">
        <is>
          <t>Vegetables</t>
        </is>
      </c>
      <c r="F15" s="7" t="inlineStr">
        <is>
          <t>Mushrooms</t>
        </is>
      </c>
      <c r="G15" s="20" t="n">
        <v>88</v>
      </c>
      <c r="H15" s="20" t="n">
        <v>108</v>
      </c>
      <c r="I15" s="21">
        <f>ROUND((1-G15/H15)*100,1)</f>
        <v/>
      </c>
      <c r="J15" s="3" t="n">
        <v>97</v>
      </c>
      <c r="K15" s="3" t="n">
        <v>82</v>
      </c>
      <c r="L15" s="3" t="n">
        <v>4</v>
      </c>
      <c r="M15" s="7" t="inlineStr">
        <is>
          <t>Wild Foraged; Altitude 3000m+</t>
        </is>
      </c>
      <c r="N15" s="7" t="b">
        <v>0</v>
      </c>
      <c r="O15" s="7" t="inlineStr">
        <is>
          <t>Hand-foraged porcini mushrooms from high-altitude Yunnan forests. Intense umami flavour.</t>
        </is>
      </c>
      <c r="P15" s="7" t="inlineStr">
        <is>
          <t>wild,premium,umami,seasonal</t>
        </is>
      </c>
      <c r="Q15" t="inlineStr">
        <is>
          <t>box (200g)</t>
        </is>
      </c>
      <c r="R15" t="inlineStr">
        <is>
          <t>Out of Stock</t>
        </is>
      </c>
    </row>
    <row r="16" ht="22.7" customHeight="1">
      <c r="A16" s="5" t="inlineStr">
        <is>
          <t>P015</t>
        </is>
      </c>
      <c r="B16" s="5" t="inlineStr">
        <is>
          <t>Imported Japanese A5 Wagyu Beef 200g</t>
        </is>
      </c>
      <c r="C16" s="5" t="inlineStr">
        <is>
          <t>日本A5和牛200g</t>
        </is>
      </c>
      <c r="D16" s="5" t="inlineStr">
        <is>
          <t>Kagoshima Prefecture, Japan</t>
        </is>
      </c>
      <c r="E16" s="5" t="inlineStr">
        <is>
          <t>Meat &amp; Seafood</t>
        </is>
      </c>
      <c r="F16" s="5" t="inlineStr">
        <is>
          <t>Premium Beef</t>
        </is>
      </c>
      <c r="G16" s="18" t="n">
        <v>428</v>
      </c>
      <c r="H16" s="18" t="n">
        <v>498</v>
      </c>
      <c r="I16" s="19">
        <f>ROUND((1-G16/H16)*100,1)</f>
        <v/>
      </c>
      <c r="J16" s="2" t="n">
        <v>99</v>
      </c>
      <c r="K16" s="2" t="n">
        <v>88</v>
      </c>
      <c r="L16" s="2" t="n">
        <v>8</v>
      </c>
      <c r="M16" s="5" t="inlineStr">
        <is>
          <t>Japan A5 Grade Certified; BMS 10+</t>
        </is>
      </c>
      <c r="N16" s="5" t="b">
        <v>0</v>
      </c>
      <c r="O16" s="5" t="inlineStr">
        <is>
          <t>Authentic Kagoshima A5 Wagyu with BMS score 10+. Direct import, full cold chain. The ultimate indulgence.</t>
        </is>
      </c>
      <c r="P16" s="5" t="inlineStr">
        <is>
          <t>ultra-premium,imported,special-occasion,Japanese</t>
        </is>
      </c>
      <c r="Q16" t="inlineStr">
        <is>
          <t>piece (200g)</t>
        </is>
      </c>
      <c r="R16" t="inlineStr">
        <is>
          <t>Out of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2" customWidth="1" min="1" max="1"/>
    <col width="28" customWidth="1" min="2" max="2"/>
    <col width="12" customWidth="1" min="3" max="3"/>
    <col width="22" customWidth="1" min="4" max="4"/>
    <col width="30" customWidth="1" min="5" max="5"/>
    <col width="14" customWidth="1" min="6" max="8"/>
    <col width="45" customWidth="1" min="9" max="9"/>
    <col width="22" customWidth="1" min="10" max="10"/>
  </cols>
  <sheetData>
    <row r="1" ht="36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Step_Number</t>
        </is>
      </c>
      <c r="D1" s="1" t="inlineStr">
        <is>
          <t>Stage</t>
        </is>
      </c>
      <c r="E1" s="1" t="inlineStr">
        <is>
          <t>Location</t>
        </is>
      </c>
      <c r="F1" s="1" t="inlineStr">
        <is>
          <t>Date</t>
        </is>
      </c>
      <c r="G1" s="1" t="inlineStr">
        <is>
          <t>Status</t>
        </is>
      </c>
      <c r="H1" s="1" t="inlineStr">
        <is>
          <t>Temperature_C</t>
        </is>
      </c>
      <c r="I1" s="1" t="inlineStr">
        <is>
          <t>Details</t>
        </is>
      </c>
      <c r="J1" s="1" t="inlineStr">
        <is>
          <t>Verified_By</t>
        </is>
      </c>
    </row>
    <row r="2" ht="22.7" customHeight="1">
      <c r="A2" s="2" t="inlineStr">
        <is>
          <t>P001</t>
        </is>
      </c>
      <c r="B2" s="5" t="inlineStr">
        <is>
          <t>Organic Baby Spinach</t>
        </is>
      </c>
      <c r="C2" s="2" t="n">
        <v>1</v>
      </c>
      <c r="D2" s="5" t="inlineStr">
        <is>
          <t>Farm Origin</t>
        </is>
      </c>
      <c r="E2" s="5" t="inlineStr">
        <is>
          <t>Shouguang Organic Farm, Shandong</t>
        </is>
      </c>
      <c r="F2" s="2" t="inlineStr">
        <is>
          <t>2025-03-01</t>
        </is>
      </c>
      <c r="G2" s="2" t="inlineStr">
        <is>
          <t>✅ Verified</t>
        </is>
      </c>
      <c r="H2" s="2" t="n">
        <v>20</v>
      </c>
      <c r="I2" s="5" t="inlineStr">
        <is>
          <t>Certified organic fields, no synthetic pesticide use. CNCA inspection passed.</t>
        </is>
      </c>
      <c r="J2" s="5" t="inlineStr">
        <is>
          <t>CNCA Inspector #SH2024-112</t>
        </is>
      </c>
    </row>
    <row r="3" ht="22.7" customHeight="1">
      <c r="A3" s="3" t="inlineStr">
        <is>
          <t>P001</t>
        </is>
      </c>
      <c r="B3" s="7" t="inlineStr">
        <is>
          <t>Organic Baby Spinach</t>
        </is>
      </c>
      <c r="C3" s="3" t="n">
        <v>2</v>
      </c>
      <c r="D3" s="7" t="inlineStr">
        <is>
          <t>Harvest &amp; Grading</t>
        </is>
      </c>
      <c r="E3" s="7" t="inlineStr">
        <is>
          <t>Shouguang, Shandong</t>
        </is>
      </c>
      <c r="F3" s="3" t="inlineStr">
        <is>
          <t>2025-03-01</t>
        </is>
      </c>
      <c r="G3" s="3" t="inlineStr">
        <is>
          <t>✅ Verified</t>
        </is>
      </c>
      <c r="H3" s="3" t="n">
        <v>15</v>
      </c>
      <c r="I3" s="7" t="inlineStr">
        <is>
          <t>Hand-harvested at 06:00 AM. Graded A-grade (&gt;90% leaf integrity). 200kg batch.</t>
        </is>
      </c>
      <c r="J3" s="7" t="inlineStr">
        <is>
          <t>Farm QC Manager</t>
        </is>
      </c>
    </row>
    <row r="4" ht="22.7" customHeight="1">
      <c r="A4" s="2" t="inlineStr">
        <is>
          <t>P001</t>
        </is>
      </c>
      <c r="B4" s="5" t="inlineStr">
        <is>
          <t>Organic Baby Spinach</t>
        </is>
      </c>
      <c r="C4" s="2" t="n">
        <v>3</v>
      </c>
      <c r="D4" s="5" t="inlineStr">
        <is>
          <t>Pre-Cooling</t>
        </is>
      </c>
      <c r="E4" s="5" t="inlineStr">
        <is>
          <t>Shouguang Cold Facility</t>
        </is>
      </c>
      <c r="F4" s="2" t="inlineStr">
        <is>
          <t>2025-03-01</t>
        </is>
      </c>
      <c r="G4" s="2" t="inlineStr">
        <is>
          <t>✅ Verified</t>
        </is>
      </c>
      <c r="H4" s="2" t="n">
        <v>4</v>
      </c>
      <c r="I4" s="5" t="inlineStr">
        <is>
          <t>Rapid pre-cool to 4°C within 2 hours of harvest to preserve nutrients.</t>
        </is>
      </c>
      <c r="J4" s="5" t="inlineStr">
        <is>
          <t>CP Logistics QC</t>
        </is>
      </c>
    </row>
    <row r="5" ht="22.7" customHeight="1">
      <c r="A5" s="3" t="inlineStr">
        <is>
          <t>P001</t>
        </is>
      </c>
      <c r="B5" s="7" t="inlineStr">
        <is>
          <t>Organic Baby Spinach</t>
        </is>
      </c>
      <c r="C5" s="3" t="n">
        <v>4</v>
      </c>
      <c r="D5" s="7" t="inlineStr">
        <is>
          <t>Cold Chain Transit</t>
        </is>
      </c>
      <c r="E5" s="7" t="inlineStr">
        <is>
          <t>Shandong → Shanghai (G2 Highway)</t>
        </is>
      </c>
      <c r="F5" s="3" t="inlineStr">
        <is>
          <t>2025-03-02</t>
        </is>
      </c>
      <c r="G5" s="3" t="inlineStr">
        <is>
          <t>✅ Verified</t>
        </is>
      </c>
      <c r="H5" s="3" t="n">
        <v>4</v>
      </c>
      <c r="I5" s="7" t="inlineStr">
        <is>
          <t>Refrigerated truck (4°C ± 1°C). 780km, 9 hours transit. No temperature breach.</t>
        </is>
      </c>
      <c r="J5" s="7" t="inlineStr">
        <is>
          <t>IoT Sensor #T-00234</t>
        </is>
      </c>
    </row>
    <row r="6" ht="22.7" customHeight="1">
      <c r="A6" s="2" t="inlineStr">
        <is>
          <t>P001</t>
        </is>
      </c>
      <c r="B6" s="5" t="inlineStr">
        <is>
          <t>Organic Baby Spinach</t>
        </is>
      </c>
      <c r="C6" s="2" t="n">
        <v>5</v>
      </c>
      <c r="D6" s="5" t="inlineStr">
        <is>
          <t>Warehouse Inspection</t>
        </is>
      </c>
      <c r="E6" s="5" t="inlineStr">
        <is>
          <t>CP Shanghai Distribution Centre, Minhang</t>
        </is>
      </c>
      <c r="F6" s="2" t="inlineStr">
        <is>
          <t>2025-03-02</t>
        </is>
      </c>
      <c r="G6" s="2" t="inlineStr">
        <is>
          <t>✅ Verified</t>
        </is>
      </c>
      <c r="H6" s="2" t="n">
        <v>4</v>
      </c>
      <c r="I6" s="5" t="inlineStr">
        <is>
          <t>Arrival QC: weight check, visual inspection, pesticide residue rapid-test passed.</t>
        </is>
      </c>
      <c r="J6" s="5" t="inlineStr">
        <is>
          <t>Shanghai QC Lab</t>
        </is>
      </c>
    </row>
    <row r="7" ht="22.7" customHeight="1">
      <c r="A7" s="3" t="inlineStr">
        <is>
          <t>P001</t>
        </is>
      </c>
      <c r="B7" s="7" t="inlineStr">
        <is>
          <t>Organic Baby Spinach</t>
        </is>
      </c>
      <c r="C7" s="3" t="n">
        <v>6</v>
      </c>
      <c r="D7" s="7" t="inlineStr">
        <is>
          <t>Front Warehouse</t>
        </is>
      </c>
      <c r="E7" s="7" t="inlineStr">
        <is>
          <t>CP Front Warehouse #SH-047, Jing'an</t>
        </is>
      </c>
      <c r="F7" s="3" t="inlineStr">
        <is>
          <t>2025-03-03</t>
        </is>
      </c>
      <c r="G7" s="3" t="inlineStr">
        <is>
          <t>✅ Verified</t>
        </is>
      </c>
      <c r="H7" s="3" t="n">
        <v>4</v>
      </c>
      <c r="I7" s="7" t="inlineStr">
        <is>
          <t>Allocated to nearest 8 front warehouses. Shelf-life counter started.</t>
        </is>
      </c>
      <c r="J7" s="7" t="inlineStr">
        <is>
          <t>System Auto</t>
        </is>
      </c>
    </row>
    <row r="8" ht="22.7" customHeight="1">
      <c r="A8" s="2" t="inlineStr">
        <is>
          <t>P001</t>
        </is>
      </c>
      <c r="B8" s="5" t="inlineStr">
        <is>
          <t>Organic Baby Spinach</t>
        </is>
      </c>
      <c r="C8" s="2" t="n">
        <v>7</v>
      </c>
      <c r="D8" s="5" t="inlineStr">
        <is>
          <t>Delivery to Consumer</t>
        </is>
      </c>
      <c r="E8" s="5" t="inlineStr">
        <is>
          <t>Consumer Address, Shanghai</t>
        </is>
      </c>
      <c r="F8" s="2" t="inlineStr">
        <is>
          <t>2025-03-03</t>
        </is>
      </c>
      <c r="G8" s="2" t="inlineStr">
        <is>
          <t>✅ Delivered</t>
        </is>
      </c>
      <c r="H8" s="2" t="n">
        <v>8</v>
      </c>
      <c r="I8" s="5" t="inlineStr">
        <is>
          <t>Insulated bag delivery within 30 minutes. Consumer satisfaction: 4.9/5.0.</t>
        </is>
      </c>
      <c r="J8" s="5" t="inlineStr">
        <is>
          <t>Delivery Partner #D8821</t>
        </is>
      </c>
    </row>
    <row r="9" ht="22.7" customHeight="1">
      <c r="A9" s="3" t="inlineStr">
        <is>
          <t>P002</t>
        </is>
      </c>
      <c r="B9" s="7" t="inlineStr">
        <is>
          <t>Grass-Fed Australian Beef Ribeye</t>
        </is>
      </c>
      <c r="C9" s="3" t="n">
        <v>1</v>
      </c>
      <c r="D9" s="7" t="inlineStr">
        <is>
          <t>Farm Origin</t>
        </is>
      </c>
      <c r="E9" s="7" t="inlineStr">
        <is>
          <t>Green Pastures Station, Victoria, Australia</t>
        </is>
      </c>
      <c r="F9" s="3" t="inlineStr">
        <is>
          <t>2025-02-10</t>
        </is>
      </c>
      <c r="G9" s="3" t="inlineStr">
        <is>
          <t>✅ Verified</t>
        </is>
      </c>
      <c r="H9" s="3" t="n">
        <v>22</v>
      </c>
      <c r="I9" s="7" t="inlineStr">
        <is>
          <t>Free-range Angus cattle, 100% grass diet, 28-month age at harvest. AUSMEAT certified.</t>
        </is>
      </c>
      <c r="J9" s="7" t="inlineStr">
        <is>
          <t>MLA Australia Auditor</t>
        </is>
      </c>
    </row>
    <row r="10" ht="22.7" customHeight="1">
      <c r="A10" s="2" t="inlineStr">
        <is>
          <t>P002</t>
        </is>
      </c>
      <c r="B10" s="5" t="inlineStr">
        <is>
          <t>Grass-Fed Australian Beef Ribeye</t>
        </is>
      </c>
      <c r="C10" s="2" t="n">
        <v>2</v>
      </c>
      <c r="D10" s="5" t="inlineStr">
        <is>
          <t>Slaughter &amp; Processing</t>
        </is>
      </c>
      <c r="E10" s="5" t="inlineStr">
        <is>
          <t>Teys Australia, Rockhampton QLD</t>
        </is>
      </c>
      <c r="F10" s="2" t="inlineStr">
        <is>
          <t>2025-02-11</t>
        </is>
      </c>
      <c r="G10" s="2" t="inlineStr">
        <is>
          <t>✅ Verified</t>
        </is>
      </c>
      <c r="H10" s="2" t="n">
        <v>2</v>
      </c>
      <c r="I10" s="5" t="inlineStr">
        <is>
          <t>USDA-equivalent MSA Grade. Dry-aged 14 days. Vacuum-packed. Halal &amp; non-Halal lines.</t>
        </is>
      </c>
      <c r="J10" s="5" t="inlineStr">
        <is>
          <t>Teys QA Department</t>
        </is>
      </c>
    </row>
    <row r="11" ht="22.7" customHeight="1">
      <c r="A11" s="3" t="inlineStr">
        <is>
          <t>P002</t>
        </is>
      </c>
      <c r="B11" s="7" t="inlineStr">
        <is>
          <t>Grass-Fed Australian Beef Ribeye</t>
        </is>
      </c>
      <c r="C11" s="3" t="n">
        <v>3</v>
      </c>
      <c r="D11" s="7" t="inlineStr">
        <is>
          <t>Export Customs &amp; Inspection</t>
        </is>
      </c>
      <c r="E11" s="7" t="inlineStr">
        <is>
          <t>Port of Brisbane</t>
        </is>
      </c>
      <c r="F11" s="3" t="inlineStr">
        <is>
          <t>2025-02-15</t>
        </is>
      </c>
      <c r="G11" s="3" t="inlineStr">
        <is>
          <t>✅ Verified</t>
        </is>
      </c>
      <c r="H11" s="3" t="n">
        <v>2</v>
      </c>
      <c r="I11" s="7" t="inlineStr">
        <is>
          <t>China GACC-registered facility (#AUS1042). AQSIQ pre-clearance documentation complete.</t>
        </is>
      </c>
      <c r="J11" s="7" t="inlineStr">
        <is>
          <t>GACC Inspector</t>
        </is>
      </c>
    </row>
    <row r="12" ht="22.7" customHeight="1">
      <c r="A12" s="2" t="inlineStr">
        <is>
          <t>P002</t>
        </is>
      </c>
      <c r="B12" s="5" t="inlineStr">
        <is>
          <t>Grass-Fed Australian Beef Ribeye</t>
        </is>
      </c>
      <c r="C12" s="2" t="n">
        <v>4</v>
      </c>
      <c r="D12" s="5" t="inlineStr">
        <is>
          <t>Sea Freight Cold Chain</t>
        </is>
      </c>
      <c r="E12" s="5" t="inlineStr">
        <is>
          <t>Brisbane → Shanghai Yangshan Port</t>
        </is>
      </c>
      <c r="F12" s="2" t="inlineStr">
        <is>
          <t>2025-02-16</t>
        </is>
      </c>
      <c r="G12" s="2" t="inlineStr">
        <is>
          <t>✅ Verified</t>
        </is>
      </c>
      <c r="H12" s="2" t="n">
        <v>-2</v>
      </c>
      <c r="I12" s="5" t="inlineStr">
        <is>
          <t>Reefer container at -2°C. 14-day voyage. Continuous IoT monitoring, 0 breaches.</t>
        </is>
      </c>
      <c r="J12" s="5" t="inlineStr">
        <is>
          <t>MSC Reefer Monitor</t>
        </is>
      </c>
    </row>
    <row r="13" ht="22.7" customHeight="1">
      <c r="A13" s="3" t="inlineStr">
        <is>
          <t>P002</t>
        </is>
      </c>
      <c r="B13" s="7" t="inlineStr">
        <is>
          <t>Grass-Fed Australian Beef Ribeye</t>
        </is>
      </c>
      <c r="C13" s="3" t="n">
        <v>5</v>
      </c>
      <c r="D13" s="7" t="inlineStr">
        <is>
          <t>Shanghai Port Inspection</t>
        </is>
      </c>
      <c r="E13" s="7" t="inlineStr">
        <is>
          <t>Yangshan Deep-Sea Port, Shanghai</t>
        </is>
      </c>
      <c r="F13" s="3" t="inlineStr">
        <is>
          <t>2025-03-01</t>
        </is>
      </c>
      <c r="G13" s="3" t="inlineStr">
        <is>
          <t>✅ Verified</t>
        </is>
      </c>
      <c r="H13" s="3" t="n">
        <v>-2</v>
      </c>
      <c r="I13" s="7" t="inlineStr">
        <is>
          <t>SAMR customs inspection passed. Cold chain certificate issued. No delays.</t>
        </is>
      </c>
      <c r="J13" s="7" t="inlineStr">
        <is>
          <t>Shanghai SAMR</t>
        </is>
      </c>
    </row>
    <row r="14" ht="22.7" customHeight="1">
      <c r="A14" s="2" t="inlineStr">
        <is>
          <t>P002</t>
        </is>
      </c>
      <c r="B14" s="5" t="inlineStr">
        <is>
          <t>Grass-Fed Australian Beef Ribeye</t>
        </is>
      </c>
      <c r="C14" s="2" t="n">
        <v>6</v>
      </c>
      <c r="D14" s="5" t="inlineStr">
        <is>
          <t>Final Delivery</t>
        </is>
      </c>
      <c r="E14" s="5" t="inlineStr">
        <is>
          <t>Consumer Address, Shanghai</t>
        </is>
      </c>
      <c r="F14" s="2" t="inlineStr">
        <is>
          <t>2025-03-04</t>
        </is>
      </c>
      <c r="G14" s="2" t="inlineStr">
        <is>
          <t>✅ Delivered</t>
        </is>
      </c>
      <c r="H14" s="2" t="n">
        <v>-2</v>
      </c>
      <c r="I14" s="5" t="inlineStr">
        <is>
          <t>Dry ice packaging. Delivered within 4-hour window. QR scan confirms authenticity.</t>
        </is>
      </c>
      <c r="J14" s="5" t="inlineStr">
        <is>
          <t>CP Last-Mile #L4421</t>
        </is>
      </c>
    </row>
    <row r="15" ht="22.7" customHeight="1">
      <c r="A15" s="3" t="inlineStr">
        <is>
          <t>P015</t>
        </is>
      </c>
      <c r="B15" s="7" t="inlineStr">
        <is>
          <t>Imported Japanese A5 Wagyu</t>
        </is>
      </c>
      <c r="C15" s="3" t="n">
        <v>1</v>
      </c>
      <c r="D15" s="7" t="inlineStr">
        <is>
          <t>Cattle Farm</t>
        </is>
      </c>
      <c r="E15" s="7" t="inlineStr">
        <is>
          <t>Kagoshima Black Cattle Co., Kagoshima</t>
        </is>
      </c>
      <c r="F15" s="3" t="inlineStr">
        <is>
          <t>2025-01-15</t>
        </is>
      </c>
      <c r="G15" s="3" t="inlineStr">
        <is>
          <t>✅ Verified</t>
        </is>
      </c>
      <c r="H15" s="3" t="n">
        <v>20</v>
      </c>
      <c r="I15" s="7" t="inlineStr">
        <is>
          <t>Individual cattle ID #KG-2025-A5-0089. BMS score assessed: 10+. 30-month raised.</t>
        </is>
      </c>
      <c r="J15" s="7" t="inlineStr">
        <is>
          <t>Japan JMGA Grader</t>
        </is>
      </c>
    </row>
    <row r="16" ht="22.7" customHeight="1">
      <c r="A16" s="2" t="inlineStr">
        <is>
          <t>P015</t>
        </is>
      </c>
      <c r="B16" s="5" t="inlineStr">
        <is>
          <t>Imported Japanese A5 Wagyu</t>
        </is>
      </c>
      <c r="C16" s="2" t="n">
        <v>2</v>
      </c>
      <c r="D16" s="5" t="inlineStr">
        <is>
          <t>Grading &amp; Butchery</t>
        </is>
      </c>
      <c r="E16" s="5" t="inlineStr">
        <is>
          <t>Kagoshima Meat Center</t>
        </is>
      </c>
      <c r="F16" s="2" t="inlineStr">
        <is>
          <t>2025-01-16</t>
        </is>
      </c>
      <c r="G16" s="2" t="inlineStr">
        <is>
          <t>✅ Verified</t>
        </is>
      </c>
      <c r="H16" s="2" t="n">
        <v>0</v>
      </c>
      <c r="I16" s="5" t="inlineStr">
        <is>
          <t>A5 Grade confirmed by Japan Meat Grading Association. Individual cut certificate issued.</t>
        </is>
      </c>
      <c r="J16" s="5" t="inlineStr">
        <is>
          <t>JMGA Certificate #A5-2025-089</t>
        </is>
      </c>
    </row>
    <row r="17" ht="22.7" customHeight="1">
      <c r="A17" s="3" t="inlineStr">
        <is>
          <t>P015</t>
        </is>
      </c>
      <c r="B17" s="7" t="inlineStr">
        <is>
          <t>Imported Japanese A5 Wagyu</t>
        </is>
      </c>
      <c r="C17" s="3" t="n">
        <v>3</v>
      </c>
      <c r="D17" s="7" t="inlineStr">
        <is>
          <t>Air Freight</t>
        </is>
      </c>
      <c r="E17" s="7" t="inlineStr">
        <is>
          <t>Osaka KIX → Shanghai PVG (ANA Cargo)</t>
        </is>
      </c>
      <c r="F17" s="3" t="inlineStr">
        <is>
          <t>2025-01-18</t>
        </is>
      </c>
      <c r="G17" s="3" t="inlineStr">
        <is>
          <t>✅ Verified</t>
        </is>
      </c>
      <c r="H17" s="3" t="n">
        <v>0</v>
      </c>
      <c r="I17" s="7" t="inlineStr">
        <is>
          <t>Premium air cargo at 0°C. 2.5-hour flight. Unbroken cold chain certification.</t>
        </is>
      </c>
      <c r="J17" s="7" t="inlineStr">
        <is>
          <t>ANA Cargo Manifest</t>
        </is>
      </c>
    </row>
    <row r="18" ht="22.7" customHeight="1">
      <c r="A18" s="2" t="inlineStr">
        <is>
          <t>P015</t>
        </is>
      </c>
      <c r="B18" s="5" t="inlineStr">
        <is>
          <t>Imported Japanese A5 Wagyu</t>
        </is>
      </c>
      <c r="C18" s="2" t="n">
        <v>4</v>
      </c>
      <c r="D18" s="5" t="inlineStr">
        <is>
          <t>Shanghai Import Clearance</t>
        </is>
      </c>
      <c r="E18" s="5" t="inlineStr">
        <is>
          <t>Pudong International Airport Customs</t>
        </is>
      </c>
      <c r="F18" s="2" t="inlineStr">
        <is>
          <t>2025-01-18</t>
        </is>
      </c>
      <c r="G18" s="2" t="inlineStr">
        <is>
          <t>✅ Verified</t>
        </is>
      </c>
      <c r="H18" s="2" t="n">
        <v>0</v>
      </c>
      <c r="I18" s="5" t="inlineStr">
        <is>
          <t>SAMR inspection passed. Japan-China FTA tariff applied. Documentation: complete.</t>
        </is>
      </c>
      <c r="J18" s="5" t="inlineStr">
        <is>
          <t>SAMR Pudong #2025-0118-J</t>
        </is>
      </c>
    </row>
    <row r="19" ht="22.7" customHeight="1">
      <c r="A19" s="3" t="inlineStr">
        <is>
          <t>P015</t>
        </is>
      </c>
      <c r="B19" s="7" t="inlineStr">
        <is>
          <t>Imported Japanese A5 Wagyu</t>
        </is>
      </c>
      <c r="C19" s="3" t="n">
        <v>5</v>
      </c>
      <c r="D19" s="7" t="inlineStr">
        <is>
          <t>Premium Cold Store</t>
        </is>
      </c>
      <c r="E19" s="7" t="inlineStr">
        <is>
          <t>CP Premium Vault, Pudong (−1°C Controlled)</t>
        </is>
      </c>
      <c r="F19" s="3" t="inlineStr">
        <is>
          <t>2025-01-19</t>
        </is>
      </c>
      <c r="G19" s="3" t="inlineStr">
        <is>
          <t>✅ Verified</t>
        </is>
      </c>
      <c r="H19" s="3" t="n">
        <v>-1</v>
      </c>
      <c r="I19" s="7" t="inlineStr">
        <is>
          <t>Individual parcel storage with unique QR. Maximum 14-day holding. Consumer-traceable.</t>
        </is>
      </c>
      <c r="J19" s="7" t="inlineStr">
        <is>
          <t>CP Premium Storage QC</t>
        </is>
      </c>
    </row>
    <row r="20" ht="22.7" customHeight="1">
      <c r="A20" s="2" t="inlineStr">
        <is>
          <t>P015</t>
        </is>
      </c>
      <c r="B20" s="5" t="inlineStr">
        <is>
          <t>Imported Japanese A5 Wagyu</t>
        </is>
      </c>
      <c r="C20" s="2" t="n">
        <v>6</v>
      </c>
      <c r="D20" s="5" t="inlineStr">
        <is>
          <t>White-Glove Delivery</t>
        </is>
      </c>
      <c r="E20" s="5" t="inlineStr">
        <is>
          <t>Consumer Address, Shanghai</t>
        </is>
      </c>
      <c r="F20" s="2" t="inlineStr">
        <is>
          <t>2025-01-22</t>
        </is>
      </c>
      <c r="G20" s="2" t="inlineStr">
        <is>
          <t>✅ Delivered</t>
        </is>
      </c>
      <c r="H20" s="2" t="n">
        <v>-1</v>
      </c>
      <c r="I20" s="5" t="inlineStr">
        <is>
          <t>Insulated premium box with dry ice. 2-hour scheduled delivery window. Signature required.</t>
        </is>
      </c>
      <c r="J20" s="5" t="inlineStr">
        <is>
          <t>CP Premium Delivery #P0089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0" customWidth="1" min="1" max="1"/>
    <col width="24" customWidth="1" min="2" max="2"/>
    <col width="22" customWidth="1" min="3" max="3"/>
    <col width="45" customWidth="1" min="4" max="5"/>
    <col width="20" customWidth="1" min="6" max="6"/>
    <col width="30" customWidth="1" min="7" max="7"/>
  </cols>
  <sheetData>
    <row r="1" ht="36" customHeight="1">
      <c r="A1" s="1" t="inlineStr">
        <is>
          <t>Year</t>
        </is>
      </c>
      <c r="B1" s="1" t="inlineStr">
        <is>
          <t>Market_Size_Billion_CNY</t>
        </is>
      </c>
      <c r="C1" s="1" t="inlineStr">
        <is>
          <t>YoY_Growth_Rate_Pct</t>
        </is>
      </c>
      <c r="D1" s="1" t="inlineStr">
        <is>
          <t>Key_Drivers</t>
        </is>
      </c>
      <c r="E1" s="1" t="inlineStr">
        <is>
          <t>Notable_Event</t>
        </is>
      </c>
      <c r="F1" s="1" t="inlineStr">
        <is>
          <t>Penetration_Rate_Pct</t>
        </is>
      </c>
      <c r="G1" s="1" t="inlineStr">
        <is>
          <t>Source</t>
        </is>
      </c>
    </row>
    <row r="2">
      <c r="A2" s="12" t="n">
        <v>2014</v>
      </c>
      <c r="B2" s="22" t="n">
        <v>29</v>
      </c>
      <c r="C2" s="2" t="inlineStr">
        <is>
          <t>N/A</t>
        </is>
      </c>
      <c r="D2" s="5" t="inlineStr">
        <is>
          <t>Early adopter market; mobile internet expansion begins</t>
        </is>
      </c>
      <c r="E2" s="5" t="inlineStr">
        <is>
          <t>Founding of Freshippo (Hema) concept</t>
        </is>
      </c>
      <c r="F2" s="23" t="n">
        <v>0.3</v>
      </c>
      <c r="G2" s="5" t="inlineStr">
        <is>
          <t>100ec.cn; Statista 2024</t>
        </is>
      </c>
    </row>
    <row r="3" ht="22.7" customHeight="1">
      <c r="A3" s="15" t="n">
        <v>2015</v>
      </c>
      <c r="B3" s="24" t="n">
        <v>54.2</v>
      </c>
      <c r="C3" s="21">
        <f>ROUND((C3-C2)/C2*100,1)</f>
        <v/>
      </c>
      <c r="D3" s="7" t="inlineStr">
        <is>
          <t>Mobile payment adoption; cold chain infrastructure investments</t>
        </is>
      </c>
      <c r="E3" s="7" t="inlineStr">
        <is>
          <t>Dingdong Maicai founded (2017 precursor)</t>
        </is>
      </c>
      <c r="F3" s="25" t="n">
        <v>0.6</v>
      </c>
      <c r="G3" s="7" t="inlineStr">
        <is>
          <t>100ec.cn; Statista 2024</t>
        </is>
      </c>
    </row>
    <row r="4">
      <c r="A4" s="12" t="n">
        <v>2016</v>
      </c>
      <c r="B4" s="22" t="n">
        <v>91.40000000000001</v>
      </c>
      <c r="C4" s="19">
        <f>ROUND((C4-C3)/C3*100,1)</f>
        <v/>
      </c>
      <c r="D4" s="5" t="inlineStr">
        <is>
          <t>O2O models emerge; Freshippo opens first store in Shanghai</t>
        </is>
      </c>
      <c r="E4" s="5" t="inlineStr">
        <is>
          <t>Freshippo (Hema) first store opens Jan 2016</t>
        </is>
      </c>
      <c r="F4" s="23" t="n">
        <v>1</v>
      </c>
      <c r="G4" s="5" t="inlineStr">
        <is>
          <t>100ec.cn; Statista 2024</t>
        </is>
      </c>
    </row>
    <row r="5" ht="22.7" customHeight="1">
      <c r="A5" s="15" t="n">
        <v>2017</v>
      </c>
      <c r="B5" s="24" t="n">
        <v>140.3</v>
      </c>
      <c r="C5" s="21">
        <f>ROUND((C5-C4)/C4*100,1)</f>
        <v/>
      </c>
      <c r="D5" s="7" t="inlineStr">
        <is>
          <t>Investor boom in fresh e-commerce; front warehouse model introduced</t>
        </is>
      </c>
      <c r="E5" s="7" t="inlineStr">
        <is>
          <t>Missfresh raises $1B; Dingdong founded</t>
        </is>
      </c>
      <c r="F5" s="25" t="n">
        <v>1.5</v>
      </c>
      <c r="G5" s="7" t="inlineStr">
        <is>
          <t>100ec.cn; Statista 2024</t>
        </is>
      </c>
    </row>
    <row r="6">
      <c r="A6" s="12" t="n">
        <v>2018</v>
      </c>
      <c r="B6" s="22" t="n">
        <v>204</v>
      </c>
      <c r="C6" s="19">
        <f>ROUND((C6-C5)/C5*100,1)</f>
        <v/>
      </c>
      <c r="D6" s="5" t="inlineStr">
        <is>
          <t>Scale-up phase; community group buying (社区团购) emerges</t>
        </is>
      </c>
      <c r="E6" s="5" t="inlineStr">
        <is>
          <t>Alibaba invests heavily in Freshippo; JD Fresh expands</t>
        </is>
      </c>
      <c r="F6" s="23" t="n">
        <v>2.1</v>
      </c>
      <c r="G6" s="5" t="inlineStr">
        <is>
          <t>100ec.cn; Statista 2024</t>
        </is>
      </c>
    </row>
    <row r="7">
      <c r="A7" s="15" t="n">
        <v>2019</v>
      </c>
      <c r="B7" s="24" t="n">
        <v>250</v>
      </c>
      <c r="C7" s="21">
        <f>ROUND((C7-C6)/C6*100,1)</f>
        <v/>
      </c>
      <c r="D7" s="7" t="inlineStr">
        <is>
          <t>Market consolidation begins; profitability pressure increases</t>
        </is>
      </c>
      <c r="E7" s="7" t="inlineStr">
        <is>
          <t>Meituan enters fresh e-commerce; community platforms rise</t>
        </is>
      </c>
      <c r="F7" s="25" t="n">
        <v>2.6</v>
      </c>
      <c r="G7" s="7" t="inlineStr">
        <is>
          <t>100ec.cn; industry estimates</t>
        </is>
      </c>
    </row>
    <row r="8" ht="22.7" customHeight="1">
      <c r="A8" s="12" t="n">
        <v>2020</v>
      </c>
      <c r="B8" s="22" t="n">
        <v>255.4</v>
      </c>
      <c r="C8" s="19">
        <f>ROUND((C8-C7)/C7*100,1)</f>
        <v/>
      </c>
      <c r="D8" s="5" t="inlineStr">
        <is>
          <t>COVID-19 accelerates online grocery adoption by 5+ years</t>
        </is>
      </c>
      <c r="E8" s="5" t="inlineStr">
        <is>
          <t>COVID-19 lockdowns – massive demand surge; contactless delivery boom</t>
        </is>
      </c>
      <c r="F8" s="23" t="n">
        <v>3.8</v>
      </c>
      <c r="G8" s="5" t="inlineStr">
        <is>
          <t>100ec.cn; Statista 2024</t>
        </is>
      </c>
    </row>
    <row r="9" ht="22.7" customHeight="1">
      <c r="A9" s="15" t="n">
        <v>2021</v>
      </c>
      <c r="B9" s="24" t="n">
        <v>364.1</v>
      </c>
      <c r="C9" s="21">
        <f>ROUND((C9-C8)/C8*100,1)</f>
        <v/>
      </c>
      <c r="D9" s="7" t="inlineStr">
        <is>
          <t>Post-COVID normalization; community group buying peaks (Meituan/Pinduoduo)</t>
        </is>
      </c>
      <c r="E9" s="7" t="inlineStr">
        <is>
          <t>Government scrutiny on community group buying pricing; Missfresh IPO</t>
        </is>
      </c>
      <c r="F9" s="25" t="n">
        <v>5</v>
      </c>
      <c r="G9" s="7" t="inlineStr">
        <is>
          <t>100ec.cn; Statista 2024</t>
        </is>
      </c>
    </row>
    <row r="10" ht="22.7" customHeight="1">
      <c r="A10" s="12" t="n">
        <v>2022</v>
      </c>
      <c r="B10" s="22" t="n">
        <v>465.8</v>
      </c>
      <c r="C10" s="19">
        <f>ROUND((C10-C9)/C9*100,1)</f>
        <v/>
      </c>
      <c r="D10" s="5" t="inlineStr">
        <is>
          <t>Market shakeout; smaller players exit; focus on unit economics</t>
        </is>
      </c>
      <c r="E10" s="5" t="inlineStr">
        <is>
          <t>Missfresh collapses (Aug 2022); Dingdong starts city exits</t>
        </is>
      </c>
      <c r="F10" s="23" t="n">
        <v>6.2</v>
      </c>
      <c r="G10" s="5" t="inlineStr">
        <is>
          <t>100ec.cn; Statista 2024</t>
        </is>
      </c>
    </row>
    <row r="11" ht="22.7" customHeight="1">
      <c r="A11" s="15" t="n">
        <v>2023</v>
      </c>
      <c r="B11" s="24" t="n">
        <v>642.4</v>
      </c>
      <c r="C11" s="21">
        <f>ROUND((C11-C10)/C10*100,1)</f>
        <v/>
      </c>
      <c r="D11" s="7" t="inlineStr">
        <is>
          <t>Recovery and consolidation; Freshippo ranked China's largest supermarket by sales</t>
        </is>
      </c>
      <c r="E11" s="7" t="inlineStr">
        <is>
          <t>Dingdong achieves first single-month profitability (Sep 2023)</t>
        </is>
      </c>
      <c r="F11" s="25" t="n">
        <v>8.1</v>
      </c>
      <c r="G11" s="7" t="inlineStr">
        <is>
          <t>Statista Apr 2024; 100ec.cn (confirmed +14.7% YoY)</t>
        </is>
      </c>
    </row>
    <row r="12" ht="22.7" customHeight="1">
      <c r="A12" s="12" t="n">
        <v>2024</v>
      </c>
      <c r="B12" s="22" t="n">
        <v>736.8</v>
      </c>
      <c r="C12" s="19">
        <f>ROUND((C12-C11)/C11*100,1)</f>
        <v/>
      </c>
      <c r="D12" s="5" t="inlineStr">
        <is>
          <t>Profitability focus; premium segment growth; AI adoption in supply chain</t>
        </is>
      </c>
      <c r="E12" s="5" t="inlineStr">
        <is>
          <t>Dingdong full-year profit (¥295M); Freshippo 9 months profitable; 72 new stores</t>
        </is>
      </c>
      <c r="F12" s="23" t="n">
        <v>9.800000000000001</v>
      </c>
      <c r="G12" s="5" t="inlineStr">
        <is>
          <t>Estimated based on Statista trend + company reports</t>
        </is>
      </c>
    </row>
    <row r="13" ht="22.7" customHeight="1">
      <c r="A13" s="15" t="n">
        <v>2025</v>
      </c>
      <c r="B13" s="24" t="n">
        <v>892</v>
      </c>
      <c r="C13" s="21">
        <f>ROUND((C13-C12)/C12*100,1)</f>
        <v/>
      </c>
      <c r="D13" s="7" t="inlineStr">
        <is>
          <t>Rapid expansion; Freshippo targets ¥100B GMV; Tier 2/3 city penetration</t>
        </is>
      </c>
      <c r="E13" s="7" t="inlineStr">
        <is>
          <t>Freshippo FY2025 GMV surpasses ¥75B; Hema X stores all closed</t>
        </is>
      </c>
      <c r="F13" s="25" t="n">
        <v>11.5</v>
      </c>
      <c r="G13" s="7" t="inlineStr">
        <is>
          <t>Freshippo FY2025 Annual Report; industry CAGR projections</t>
        </is>
      </c>
    </row>
    <row r="14" ht="22.7" customHeight="1">
      <c r="A14" s="12" t="n">
        <v>2026</v>
      </c>
      <c r="B14" s="22" t="n">
        <v>1081</v>
      </c>
      <c r="C14" s="19">
        <f>ROUND((C14-C13)/C13*100,1)</f>
        <v/>
      </c>
      <c r="D14" s="5" t="inlineStr">
        <is>
          <t>Projected: CP Group market entry; technology differentiation era</t>
        </is>
      </c>
      <c r="E14" s="5" t="inlineStr">
        <is>
          <t>CP Group projected market entry (this project)</t>
        </is>
      </c>
      <c r="F14" s="23" t="n">
        <v>13.5</v>
      </c>
      <c r="G14" s="5" t="inlineStr">
        <is>
          <t>iResearch 2025 forecast; Statista CAGR ~27%</t>
        </is>
      </c>
    </row>
    <row r="15" ht="22.7" customHeight="1">
      <c r="A15" s="15" t="n">
        <v>2027</v>
      </c>
      <c r="B15" s="24" t="n">
        <v>1310</v>
      </c>
      <c r="C15" s="21">
        <f>ROUND((C15-C14)/C14*100,1)</f>
        <v/>
      </c>
      <c r="D15" s="7" t="inlineStr">
        <is>
          <t>Projected: AI-native platforms dominate; traceability becomes standard</t>
        </is>
      </c>
      <c r="E15" s="7" t="inlineStr">
        <is>
          <t>Traceability regulations expected; blockchain adoption scales</t>
        </is>
      </c>
      <c r="F15" s="25" t="n">
        <v>15.8</v>
      </c>
      <c r="G15" s="7" t="inlineStr">
        <is>
          <t>iResearch 2025 forecast</t>
        </is>
      </c>
    </row>
    <row r="16" ht="22.7" customHeight="1">
      <c r="A16" s="12" t="n">
        <v>2028</v>
      </c>
      <c r="B16" s="22" t="n">
        <v>1587</v>
      </c>
      <c r="C16" s="19">
        <f>ROUND((C16-C15)/C15*100,1)</f>
        <v/>
      </c>
      <c r="D16" s="5" t="inlineStr">
        <is>
          <t>Projected: Market matures; private label and premium segments lead</t>
        </is>
      </c>
      <c r="E16" s="5" t="inlineStr">
        <is>
          <t>Estimated full market maturation in Tier 1 cities</t>
        </is>
      </c>
      <c r="F16" s="23" t="n">
        <v>18.2</v>
      </c>
      <c r="G16" s="5" t="inlineStr">
        <is>
          <t>Statista/iResearch CAGR ~21% (2025–2028)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cols>
    <col width="12" customWidth="1" min="1" max="1"/>
    <col width="16" customWidth="1" min="2" max="2"/>
    <col width="12" customWidth="1" min="3" max="3"/>
    <col width="20" customWidth="1" min="4" max="4"/>
    <col width="12" customWidth="1" min="5" max="5"/>
    <col width="22" customWidth="1" min="6" max="6"/>
    <col width="30" customWidth="1" min="7" max="10"/>
    <col width="24" customWidth="1" min="11" max="11"/>
    <col width="22" customWidth="1" min="12" max="13"/>
    <col width="50" customWidth="1" min="14" max="14"/>
  </cols>
  <sheetData>
    <row r="1" ht="36" customHeight="1">
      <c r="A1" s="1" t="inlineStr">
        <is>
          <t>Persona_ID</t>
        </is>
      </c>
      <c r="B1" s="1" t="inlineStr">
        <is>
          <t>Name</t>
        </is>
      </c>
      <c r="C1" s="1" t="inlineStr">
        <is>
          <t>Age_Range</t>
        </is>
      </c>
      <c r="D1" s="1" t="inlineStr">
        <is>
          <t>Household_Income_CNY</t>
        </is>
      </c>
      <c r="E1" s="1" t="inlineStr">
        <is>
          <t>City_Tier</t>
        </is>
      </c>
      <c r="F1" s="1" t="inlineStr">
        <is>
          <t>Occupation</t>
        </is>
      </c>
      <c r="G1" s="1" t="inlineStr">
        <is>
          <t>Decision_Driver_1</t>
        </is>
      </c>
      <c r="H1" s="1" t="inlineStr">
        <is>
          <t>Decision_Driver_2</t>
        </is>
      </c>
      <c r="I1" s="1" t="inlineStr">
        <is>
          <t>Pain_Point_1</t>
        </is>
      </c>
      <c r="J1" s="1" t="inlineStr">
        <is>
          <t>Pain_Point_2</t>
        </is>
      </c>
      <c r="K1" s="1" t="inlineStr">
        <is>
          <t>Willingness_to_Pay_Premium_Pct</t>
        </is>
      </c>
      <c r="L1" s="1" t="inlineStr">
        <is>
          <t>Monthly_Grocery_Budget_CNY</t>
        </is>
      </c>
      <c r="M1" s="1" t="inlineStr">
        <is>
          <t>Preferred_Channel</t>
        </is>
      </c>
      <c r="N1" s="1" t="inlineStr">
        <is>
          <t>JTBD_Statement</t>
        </is>
      </c>
    </row>
    <row r="2" ht="34" customHeight="1">
      <c r="A2" s="2" t="inlineStr">
        <is>
          <t>PA001</t>
        </is>
      </c>
      <c r="B2" s="5" t="inlineStr">
        <is>
          <t>Pragmatic Mei</t>
        </is>
      </c>
      <c r="C2" s="2" t="inlineStr">
        <is>
          <t>28–38</t>
        </is>
      </c>
      <c r="D2" s="2" t="n">
        <v>200000</v>
      </c>
      <c r="E2" s="2" t="inlineStr">
        <is>
          <t>Tier 1 (Shanghai/BJ/SZ)</t>
        </is>
      </c>
      <c r="F2" s="5" t="inlineStr">
        <is>
          <t>Dual-income professional couple</t>
        </is>
      </c>
      <c r="G2" s="5" t="inlineStr">
        <is>
          <t>Product quality &amp; safety (food safety #1 concern)</t>
        </is>
      </c>
      <c r="H2" s="5" t="inlineStr">
        <is>
          <t>Time efficiency – 30-min delivery vs 90-min supermarket trip</t>
        </is>
      </c>
      <c r="I2" s="5" t="inlineStr">
        <is>
          <t>Cannot verify food origin or quality before buying</t>
        </is>
      </c>
      <c r="J2" s="5" t="inlineStr">
        <is>
          <t>Inconsistent quality across orders</t>
        </is>
      </c>
      <c r="K2" s="2" t="inlineStr">
        <is>
          <t>25–35%</t>
        </is>
      </c>
      <c r="L2" s="2" t="n">
        <v>3500</v>
      </c>
      <c r="M2" s="5" t="inlineStr">
        <is>
          <t>Mobile app (primary); Mini-program</t>
        </is>
      </c>
      <c r="N2" s="5" t="inlineStr">
        <is>
          <t>When I buy fresh food for my family, I want to be certain it's safe and high-quality, so I can cook confidently without worrying about what's in it.</t>
        </is>
      </c>
    </row>
    <row r="3" ht="22.7" customHeight="1">
      <c r="A3" s="3" t="inlineStr">
        <is>
          <t>PA002</t>
        </is>
      </c>
      <c r="B3" s="7" t="inlineStr">
        <is>
          <t>Value Victor</t>
        </is>
      </c>
      <c r="C3" s="3" t="inlineStr">
        <is>
          <t>35–50</t>
        </is>
      </c>
      <c r="D3" s="3" t="n">
        <v>150000</v>
      </c>
      <c r="E3" s="3" t="inlineStr">
        <is>
          <t>Tier 1–2</t>
        </is>
      </c>
      <c r="F3" s="7" t="inlineStr">
        <is>
          <t>Small business owner / Middle manager</t>
        </is>
      </c>
      <c r="G3" s="7" t="inlineStr">
        <is>
          <t>Price-quality ratio – premium quality at fair price</t>
        </is>
      </c>
      <c r="H3" s="7" t="inlineStr">
        <is>
          <t>Reliability of supply and consistent quality</t>
        </is>
      </c>
      <c r="I3" s="7" t="inlineStr">
        <is>
          <t>Feels misled by marketing vs actual product quality</t>
        </is>
      </c>
      <c r="J3" s="7" t="inlineStr">
        <is>
          <t>Premium prices but no proof of premium quality</t>
        </is>
      </c>
      <c r="K3" s="3" t="inlineStr">
        <is>
          <t>15–25%</t>
        </is>
      </c>
      <c r="L3" s="3" t="n">
        <v>2800</v>
      </c>
      <c r="M3" s="7" t="inlineStr">
        <is>
          <t>WeChat Mini-program; Desktop web</t>
        </is>
      </c>
      <c r="N3" s="7" t="inlineStr">
        <is>
          <t>When I shop for groceries, I want to find the best quality-per-yuan products, so I can provide well for my family without overspending.</t>
        </is>
      </c>
    </row>
    <row r="4" ht="34" customHeight="1">
      <c r="A4" s="2" t="inlineStr">
        <is>
          <t>PA003</t>
        </is>
      </c>
      <c r="B4" s="5" t="inlineStr">
        <is>
          <t>Health Hero</t>
        </is>
      </c>
      <c r="C4" s="2" t="inlineStr">
        <is>
          <t>25–35</t>
        </is>
      </c>
      <c r="D4" s="2" t="n">
        <v>120000</v>
      </c>
      <c r="E4" s="2" t="inlineStr">
        <is>
          <t>Tier 1–2</t>
        </is>
      </c>
      <c r="F4" s="5" t="inlineStr">
        <is>
          <t>Fitness professional / Health-conscious millennial</t>
        </is>
      </c>
      <c r="G4" s="5" t="inlineStr">
        <is>
          <t>Nutritional content &amp; organic certification</t>
        </is>
      </c>
      <c r="H4" s="5" t="inlineStr">
        <is>
          <t>Clean label – no additives, hormones, or GMO</t>
        </is>
      </c>
      <c r="I4" s="5" t="inlineStr">
        <is>
          <t>Hard to find genuinely organic produce (greenwashing concern)</t>
        </is>
      </c>
      <c r="J4" s="5" t="inlineStr">
        <is>
          <t>Limited variety of functional/health foods online</t>
        </is>
      </c>
      <c r="K4" s="2" t="inlineStr">
        <is>
          <t>35–50%</t>
        </is>
      </c>
      <c r="L4" s="2" t="n">
        <v>4200</v>
      </c>
      <c r="M4" s="5" t="inlineStr">
        <is>
          <t>Mobile app; Xiaohongshu (research) → app (purchase)</t>
        </is>
      </c>
      <c r="N4" s="5" t="inlineStr">
        <is>
          <t>When I plan my weekly meals, I want certified organic and functional foods delivered to my door, so I can support my fitness goals without compromising on food safety.</t>
        </is>
      </c>
    </row>
    <row r="5" ht="34" customHeight="1">
      <c r="A5" s="3" t="inlineStr">
        <is>
          <t>PA004</t>
        </is>
      </c>
      <c r="B5" s="7" t="inlineStr">
        <is>
          <t>Premium Penny</t>
        </is>
      </c>
      <c r="C5" s="3" t="inlineStr">
        <is>
          <t>40–55</t>
        </is>
      </c>
      <c r="D5" s="3" t="n">
        <v>500000</v>
      </c>
      <c r="E5" s="3" t="inlineStr">
        <is>
          <t>Tier 1</t>
        </is>
      </c>
      <c r="F5" s="7" t="inlineStr">
        <is>
          <t>Senior executive / Affluent family</t>
        </is>
      </c>
      <c r="G5" s="7" t="inlineStr">
        <is>
          <t>Exclusivity &amp; provenance (imported, rare, high-grade)</t>
        </is>
      </c>
      <c r="H5" s="7" t="inlineStr">
        <is>
          <t>White-glove service &amp; reliability</t>
        </is>
      </c>
      <c r="I5" s="7" t="inlineStr">
        <is>
          <t>Authentic imported goods are hard to verify (counterfeiting risk)</t>
        </is>
      </c>
      <c r="J5" s="7" t="inlineStr">
        <is>
          <t>Delivery experience doesn't match premium product expectations</t>
        </is>
      </c>
      <c r="K5" s="3" t="inlineStr">
        <is>
          <t>50–80%</t>
        </is>
      </c>
      <c r="L5" s="3" t="n">
        <v>8000</v>
      </c>
      <c r="M5" s="7" t="inlineStr">
        <is>
          <t>Dedicated app; WeChat private concierge</t>
        </is>
      </c>
      <c r="N5" s="7" t="inlineStr">
        <is>
          <t>When I entertain guests or buy special occasion food, I want verifiable premium products with flawless delivery, so I can trust the experience matches the price.</t>
        </is>
      </c>
    </row>
    <row r="6" ht="34" customHeight="1">
      <c r="A6" s="2" t="inlineStr">
        <is>
          <t>PA005</t>
        </is>
      </c>
      <c r="B6" s="5" t="inlineStr">
        <is>
          <t>Suburban Savvy</t>
        </is>
      </c>
      <c r="C6" s="2" t="inlineStr">
        <is>
          <t>30–45</t>
        </is>
      </c>
      <c r="D6" s="2" t="n">
        <v>80000</v>
      </c>
      <c r="E6" s="2" t="inlineStr">
        <is>
          <t>Tier 2–3 (Suzhou/Nanjing/Hangzhou)</t>
        </is>
      </c>
      <c r="F6" s="5" t="inlineStr">
        <is>
          <t>Government worker / Teacher / Mid-level staff</t>
        </is>
      </c>
      <c r="G6" s="5" t="inlineStr">
        <is>
          <t>Convenience vs nearby wet market</t>
        </is>
      </c>
      <c r="H6" s="5" t="inlineStr">
        <is>
          <t>Slightly better quality than wet market at similar price</t>
        </is>
      </c>
      <c r="I6" s="5" t="inlineStr">
        <is>
          <t>Delivery fees feel high for smaller orders</t>
        </is>
      </c>
      <c r="J6" s="5" t="inlineStr">
        <is>
          <t>Limited fresh variety vs city-centre options</t>
        </is>
      </c>
      <c r="K6" s="2" t="inlineStr">
        <is>
          <t>10–15%</t>
        </is>
      </c>
      <c r="L6" s="2" t="n">
        <v>1800</v>
      </c>
      <c r="M6" s="5" t="inlineStr">
        <is>
          <t>Community group buying; WeChat group order</t>
        </is>
      </c>
      <c r="N6" s="5" t="inlineStr">
        <is>
          <t>When I need fresh groceries for the week, I want a convenient way to get good quality produce close to home without paying extra for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2026-03-13T07:48:57Z</dcterms:created>
  <dcterms:modified xsi:type="dcterms:W3CDTF">2026-03-17T03:15:43Z</dcterms:modified>
  <cp:lastModifiedBy>Yuyao Wang</cp:lastModifiedBy>
</cp:coreProperties>
</file>